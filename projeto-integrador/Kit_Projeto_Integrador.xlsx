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esultados" sheetId="2" state="visible" r:id="rId2"/>
    <sheet xmlns:r="http://schemas.openxmlformats.org/officeDocument/2006/relationships" name="Categorias" sheetId="3" state="visible" r:id="rId3"/>
    <sheet xmlns:r="http://schemas.openxmlformats.org/officeDocument/2006/relationships" name="Matriz" sheetId="4" state="visible" r:id="rId4"/>
    <sheet xmlns:r="http://schemas.openxmlformats.org/officeDocument/2006/relationships" name="Chamados" sheetId="5" state="visible" r:id="rId5"/>
    <sheet xmlns:r="http://schemas.openxmlformats.org/officeDocument/2006/relationships" name="Contas_AD" sheetId="6" state="visible" r:id="rId6"/>
    <sheet xmlns:r="http://schemas.openxmlformats.org/officeDocument/2006/relationships" name="Desligados_R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  <b val="1"/>
    </font>
    <font>
      <name val="Arial"/>
      <i val="1"/>
      <color rgb="00C00000"/>
    </font>
    <font>
      <name val="Arial"/>
      <color theme="1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4" fillId="2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5" fillId="0" borderId="0" pivotButton="0" quotePrefix="0" xfId="0"/>
    <xf numFmtId="0" fontId="4" fillId="2" borderId="1" applyAlignment="1" pivotButton="0" quotePrefix="0" xfId="0">
      <alignment vertical="center" wrapText="1"/>
    </xf>
    <xf numFmtId="0" fontId="7" fillId="3" borderId="1" pivotButton="0" quotePrefix="0" xfId="0"/>
    <xf numFmtId="0" fontId="5" fillId="0" borderId="1" pivotButton="0" quotePrefix="0" xfId="0"/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7" fillId="0" borderId="1" pivotButton="0" quotePrefix="0" xfId="0"/>
    <xf numFmtId="0" fontId="7" fillId="7" borderId="1" pivotButton="0" quotePrefix="0" xfId="0"/>
    <xf numFmtId="0" fontId="7" fillId="7" borderId="0" pivotButton="0" quotePrefix="0" xfId="0"/>
    <xf numFmtId="0" fontId="7" fillId="3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KIT DO PROJETO INTEGRADOR — suporte de TI / logística</t>
        </is>
      </c>
    </row>
    <row r="2">
      <c r="A2" s="2" t="inlineStr"/>
    </row>
    <row r="3">
      <c r="A3" s="2" t="inlineStr">
        <is>
          <t>Células com fundo AMARELO são para você preencher. Fundo VERDE é a linha de exemplo (apague ou substitua).</t>
        </is>
      </c>
    </row>
    <row r="4">
      <c r="A4" s="2" t="inlineStr">
        <is>
          <t>Células brancas com fórmula calculam sozinhas: não digite nelas.</t>
        </is>
      </c>
    </row>
    <row r="5">
      <c r="A5" s="2" t="inlineStr"/>
    </row>
    <row r="6">
      <c r="A6" s="3" t="inlineStr">
        <is>
          <t>Ordem de uso</t>
        </is>
      </c>
    </row>
    <row r="7">
      <c r="A7" s="2" t="inlineStr">
        <is>
          <t>1. Categorias: revise a lista de categorias e ajuste para a realidade do seu suporte.</t>
        </is>
      </c>
    </row>
    <row r="8">
      <c r="A8" s="2" t="inlineStr">
        <is>
          <t>2. Chamados: cole os chamados do período ANTES (descrição sem nomes, logins ou nome da empresa). Classifique Tipo, Categoria, Impacto e Urgência.</t>
        </is>
      </c>
    </row>
    <row r="9">
      <c r="A9" s="2" t="inlineStr">
        <is>
          <t>3. A coluna Prioridade é calculada pela aba Matriz. Não digite nela.</t>
        </is>
      </c>
    </row>
    <row r="10">
      <c r="A10" s="2" t="inlineStr">
        <is>
          <t>4. Se usar IA, cole a categoria sugerida na coluna "Categoria sugerida pela IA". A coluna ao lado diz se ela acertou.</t>
        </is>
      </c>
    </row>
    <row r="11">
      <c r="A11" s="2" t="inlineStr">
        <is>
          <t>5. Aplique o novo fluxo por alguns dias e lance os chamados novos com Período = Depois.</t>
        </is>
      </c>
    </row>
    <row r="12">
      <c r="A12" s="2" t="inlineStr">
        <is>
          <t>6. Contas_AD: cole o CSV gerado pelo script exportar_contas_ad.ps1. Desligados_RH: cole os logins que o RH informar.</t>
        </is>
      </c>
    </row>
    <row r="13">
      <c r="A13" s="2" t="inlineStr">
        <is>
          <t>7. Resultados: os números para o relatório aparecem prontos. Copie para a seção 5 do relatório.</t>
        </is>
      </c>
    </row>
    <row r="14">
      <c r="A14" s="2" t="inlineStr"/>
    </row>
    <row r="15">
      <c r="A15" s="2" t="inlineStr">
        <is>
          <t>Impacto: 1 = Alto (setor inteiro ou operação parada) | 2 = Médio (grupo de usuários) | 3 = Baixo (um usuário)</t>
        </is>
      </c>
    </row>
    <row r="16">
      <c r="A16" s="2" t="inlineStr">
        <is>
          <t>Urgência: 1 = Alta (para expedição/recebimento agora) | 2 = Média (atrasa, mas há contorno) | 3 = Baixa (pode esperar)</t>
        </is>
      </c>
    </row>
    <row r="17">
      <c r="A17" s="2" t="inlineStr"/>
    </row>
    <row r="18">
      <c r="A18" s="2" t="inlineStr">
        <is>
          <t>Os prazos de atendimento da aba Matriz são SUGESTÕES para o projeto, não um padrão oficial. Ajuste ao que sua equipe consegue cumprir.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</cols>
  <sheetData>
    <row r="1">
      <c r="A1" s="4" t="inlineStr">
        <is>
          <t>Resultados para a seção 5 do relatório</t>
        </is>
      </c>
      <c r="B1" s="5" t="n"/>
      <c r="C1" s="5" t="n"/>
    </row>
    <row r="2">
      <c r="A2" s="6" t="inlineStr">
        <is>
          <t>Apague as linhas de exemplo (verdes) antes de usar estes números.</t>
        </is>
      </c>
      <c r="B2" s="5" t="n"/>
      <c r="C2" s="5" t="n"/>
    </row>
    <row r="3">
      <c r="A3" s="5" t="n"/>
      <c r="B3" s="5" t="n"/>
      <c r="C3" s="5" t="n"/>
    </row>
    <row r="4">
      <c r="A4" s="7" t="inlineStr">
        <is>
          <t>Indicador</t>
        </is>
      </c>
      <c r="B4" s="7" t="inlineStr">
        <is>
          <t>Antes</t>
        </is>
      </c>
      <c r="C4" s="7" t="inlineStr">
        <is>
          <t>Depois</t>
        </is>
      </c>
    </row>
    <row r="5">
      <c r="A5" s="5" t="inlineStr">
        <is>
          <t>Total de chamados</t>
        </is>
      </c>
      <c r="B5" s="5">
        <f>COUNTIF(Chamados!$C$2:$C$301,"Antes")</f>
        <v/>
      </c>
      <c r="C5" s="5">
        <f>COUNTIF(Chamados!$C$2:$C$301,"Depois")</f>
        <v/>
      </c>
    </row>
    <row r="6">
      <c r="A6" s="5" t="inlineStr">
        <is>
          <t>Incidentes</t>
        </is>
      </c>
      <c r="B6" s="5">
        <f>COUNTIFS(Chamados!$C$2:$C$301,"Antes",Chamados!$F$2:$F$301,"Incidente")</f>
        <v/>
      </c>
      <c r="C6" s="5">
        <f>COUNTIFS(Chamados!$C$2:$C$301,"Depois",Chamados!$F$2:$F$301,"Incidente")</f>
        <v/>
      </c>
    </row>
    <row r="7">
      <c r="A7" s="5" t="inlineStr">
        <is>
          <t>Requisições de serviço</t>
        </is>
      </c>
      <c r="B7" s="5">
        <f>COUNTIFS(Chamados!$C$2:$C$301,"Antes",Chamados!$F$2:$F$301,"Requisição de serviço")</f>
        <v/>
      </c>
      <c r="C7" s="5">
        <f>COUNTIFS(Chamados!$C$2:$C$301,"Depois",Chamados!$F$2:$F$301,"Requisição de serviço")</f>
        <v/>
      </c>
    </row>
    <row r="8">
      <c r="A8" s="5" t="inlineStr">
        <is>
          <t>Problemas</t>
        </is>
      </c>
      <c r="B8" s="5">
        <f>COUNTIFS(Chamados!$C$2:$C$301,"Antes",Chamados!$F$2:$F$301,"Problema")</f>
        <v/>
      </c>
      <c r="C8" s="5">
        <f>COUNTIFS(Chamados!$C$2:$C$301,"Depois",Chamados!$F$2:$F$301,"Problema")</f>
        <v/>
      </c>
    </row>
    <row r="9">
      <c r="A9" s="5" t="inlineStr">
        <is>
          <t>Chamados com categoria preenchida (%)</t>
        </is>
      </c>
      <c r="B9" s="8">
        <f>IFERROR(SUMPRODUCT((Chamados!$C$2:$C$301="Antes")*(Chamados!$G$2:$G$301&lt;&gt;""))/COUNTIF(Chamados!$C$2:$C$301,"Antes"),0)</f>
        <v/>
      </c>
      <c r="C9" s="8">
        <f>IFERROR(SUMPRODUCT((Chamados!$C$2:$C$301="Depois")*(Chamados!$G$2:$G$301&lt;&gt;""))/COUNTIF(Chamados!$C$2:$C$301,"Depois"),0)</f>
        <v/>
      </c>
    </row>
    <row r="10">
      <c r="A10" s="5" t="inlineStr">
        <is>
          <t>Chamados com prioridade definida (%)</t>
        </is>
      </c>
      <c r="B10" s="8">
        <f>IFERROR(SUMPRODUCT((Chamados!$C$2:$C$301="Antes")*(Chamados!$J$2:$J$301&lt;&gt;""))/COUNTIF(Chamados!$C$2:$C$301,"Antes"),0)</f>
        <v/>
      </c>
      <c r="C10" s="8">
        <f>IFERROR(SUMPRODUCT((Chamados!$C$2:$C$301="Depois")*(Chamados!$J$2:$J$301&lt;&gt;""))/COUNTIF(Chamados!$C$2:$C$301,"Depois"),0)</f>
        <v/>
      </c>
    </row>
    <row r="11">
      <c r="A11" s="5" t="inlineStr">
        <is>
          <t>Chamados P1</t>
        </is>
      </c>
      <c r="B11" s="5">
        <f>COUNTIFS(Chamados!$C$2:$C$301,"Antes",Chamados!$J$2:$J$301,"P1")</f>
        <v/>
      </c>
      <c r="C11" s="5">
        <f>COUNTIFS(Chamados!$C$2:$C$301,"Depois",Chamados!$J$2:$J$301,"P1")</f>
        <v/>
      </c>
    </row>
    <row r="12">
      <c r="A12" s="5" t="inlineStr">
        <is>
          <t>Tempo médio de solução (min)</t>
        </is>
      </c>
      <c r="B12" s="9">
        <f>IFERROR(AVERAGEIFS(Chamados!$M$2:$M$301,Chamados!$C$2:$C$301,"Antes"),0)</f>
        <v/>
      </c>
      <c r="C12" s="9">
        <f>IFERROR(AVERAGEIFS(Chamados!$M$2:$M$301,Chamados!$C$2:$C$301,"Depois"),0)</f>
        <v/>
      </c>
    </row>
    <row r="13">
      <c r="A13" s="5" t="n"/>
      <c r="B13" s="5" t="n"/>
      <c r="C13" s="5" t="n"/>
    </row>
    <row r="14">
      <c r="A14" s="10" t="inlineStr">
        <is>
          <t>Inteligência Artificial</t>
        </is>
      </c>
      <c r="B14" s="5" t="n"/>
      <c r="C14" s="5" t="n"/>
    </row>
    <row r="15">
      <c r="A15" s="5" t="inlineStr">
        <is>
          <t>Sugestões da IA conferidas</t>
        </is>
      </c>
      <c r="B15" s="5">
        <f>COUNTIF(Chamados!$L$2:$L$301,"Sim")+COUNTIF(Chamados!$L$2:$L$301,"Não")</f>
        <v/>
      </c>
      <c r="C15" s="5" t="n"/>
    </row>
    <row r="16">
      <c r="A16" s="5" t="inlineStr">
        <is>
          <t>Acerto da IA (%)</t>
        </is>
      </c>
      <c r="B16" s="8">
        <f>IFERROR(COUNTIF(Chamados!$L$2:$L$301,"Sim")/B15,0)</f>
        <v/>
      </c>
      <c r="C16" s="5" t="n"/>
    </row>
    <row r="17">
      <c r="A17" s="5" t="n"/>
      <c r="B17" s="5" t="n"/>
      <c r="C17" s="5" t="n"/>
    </row>
    <row r="18">
      <c r="A18" s="10" t="inlineStr">
        <is>
          <t>Contas do Active Directory</t>
        </is>
      </c>
      <c r="B18" s="5" t="n"/>
      <c r="C18" s="5" t="n"/>
    </row>
    <row r="19">
      <c r="A19" s="5" t="inlineStr">
        <is>
          <t>Contas inativas exportadas</t>
        </is>
      </c>
      <c r="B19" s="5">
        <f>COUNTA(Contas_AD!$A$2:$A$501)</f>
        <v/>
      </c>
      <c r="C19" s="5" t="n"/>
    </row>
    <row r="20">
      <c r="A20" s="5" t="inlineStr">
        <is>
          <t>Contas ativas de ex-colaboradores (RH)</t>
        </is>
      </c>
      <c r="B20" s="5">
        <f>COUNTIF(Contas_AD!$D$2:$D$501,"SIM")</f>
        <v/>
      </c>
      <c r="C20" s="5" t="n"/>
    </row>
    <row r="21">
      <c r="A21" s="5" t="inlineStr">
        <is>
          <t>Contas desabilitadas após a revisão</t>
        </is>
      </c>
      <c r="B21" s="5">
        <f>COUNTIF(Contas_AD!$E$2:$E$501,"Desabilitada")</f>
        <v/>
      </c>
      <c r="C21" s="5" t="n"/>
    </row>
    <row r="22">
      <c r="A22" s="5" t="n"/>
      <c r="B22" s="5" t="n"/>
      <c r="C22" s="5" t="n"/>
    </row>
    <row r="23">
      <c r="A23" s="10" t="inlineStr">
        <is>
          <t>Chamados por categoria</t>
        </is>
      </c>
      <c r="B23" s="5" t="n"/>
      <c r="C23" s="5" t="n"/>
    </row>
    <row r="24">
      <c r="A24" s="7" t="inlineStr">
        <is>
          <t>Categoria</t>
        </is>
      </c>
      <c r="B24" s="7" t="inlineStr">
        <is>
          <t>Antes</t>
        </is>
      </c>
      <c r="C24" s="7" t="inlineStr">
        <is>
          <t>Depois</t>
        </is>
      </c>
    </row>
    <row r="25">
      <c r="A25" s="5">
        <f>IF(Categorias!$A$2="","",Categorias!$A$2)</f>
        <v/>
      </c>
      <c r="B25" s="5">
        <f>IF($A25="","",COUNTIFS(Chamados!$C$2:$C$301,"Antes",Chamados!$G$2:$G$301,$A25))</f>
        <v/>
      </c>
      <c r="C25" s="5">
        <f>IF($A25="","",COUNTIFS(Chamados!$C$2:$C$301,"Depois",Chamados!$G$2:$G$301,$A25))</f>
        <v/>
      </c>
    </row>
    <row r="26">
      <c r="A26" s="5">
        <f>IF(Categorias!$A$3="","",Categorias!$A$3)</f>
        <v/>
      </c>
      <c r="B26" s="5">
        <f>IF($A26="","",COUNTIFS(Chamados!$C$2:$C$301,"Antes",Chamados!$G$2:$G$301,$A26))</f>
        <v/>
      </c>
      <c r="C26" s="5">
        <f>IF($A26="","",COUNTIFS(Chamados!$C$2:$C$301,"Depois",Chamados!$G$2:$G$301,$A26))</f>
        <v/>
      </c>
    </row>
    <row r="27">
      <c r="A27" s="5">
        <f>IF(Categorias!$A$4="","",Categorias!$A$4)</f>
        <v/>
      </c>
      <c r="B27" s="5">
        <f>IF($A27="","",COUNTIFS(Chamados!$C$2:$C$301,"Antes",Chamados!$G$2:$G$301,$A27))</f>
        <v/>
      </c>
      <c r="C27" s="5">
        <f>IF($A27="","",COUNTIFS(Chamados!$C$2:$C$301,"Depois",Chamados!$G$2:$G$301,$A27))</f>
        <v/>
      </c>
    </row>
    <row r="28">
      <c r="A28" s="5">
        <f>IF(Categorias!$A$5="","",Categorias!$A$5)</f>
        <v/>
      </c>
      <c r="B28" s="5">
        <f>IF($A28="","",COUNTIFS(Chamados!$C$2:$C$301,"Antes",Chamados!$G$2:$G$301,$A28))</f>
        <v/>
      </c>
      <c r="C28" s="5">
        <f>IF($A28="","",COUNTIFS(Chamados!$C$2:$C$301,"Depois",Chamados!$G$2:$G$301,$A28))</f>
        <v/>
      </c>
    </row>
    <row r="29">
      <c r="A29" s="5">
        <f>IF(Categorias!$A$6="","",Categorias!$A$6)</f>
        <v/>
      </c>
      <c r="B29" s="5">
        <f>IF($A29="","",COUNTIFS(Chamados!$C$2:$C$301,"Antes",Chamados!$G$2:$G$301,$A29))</f>
        <v/>
      </c>
      <c r="C29" s="5">
        <f>IF($A29="","",COUNTIFS(Chamados!$C$2:$C$301,"Depois",Chamados!$G$2:$G$301,$A29))</f>
        <v/>
      </c>
    </row>
    <row r="30">
      <c r="A30" s="5">
        <f>IF(Categorias!$A$7="","",Categorias!$A$7)</f>
        <v/>
      </c>
      <c r="B30" s="5">
        <f>IF($A30="","",COUNTIFS(Chamados!$C$2:$C$301,"Antes",Chamados!$G$2:$G$301,$A30))</f>
        <v/>
      </c>
      <c r="C30" s="5">
        <f>IF($A30="","",COUNTIFS(Chamados!$C$2:$C$301,"Depois",Chamados!$G$2:$G$301,$A30))</f>
        <v/>
      </c>
    </row>
    <row r="31">
      <c r="A31" s="5">
        <f>IF(Categorias!$A$8="","",Categorias!$A$8)</f>
        <v/>
      </c>
      <c r="B31" s="5">
        <f>IF($A31="","",COUNTIFS(Chamados!$C$2:$C$301,"Antes",Chamados!$G$2:$G$301,$A31))</f>
        <v/>
      </c>
      <c r="C31" s="5">
        <f>IF($A31="","",COUNTIFS(Chamados!$C$2:$C$301,"Depois",Chamados!$G$2:$G$301,$A31))</f>
        <v/>
      </c>
    </row>
    <row r="32">
      <c r="A32" s="5">
        <f>IF(Categorias!$A$9="","",Categorias!$A$9)</f>
        <v/>
      </c>
      <c r="B32" s="5">
        <f>IF($A32="","",COUNTIFS(Chamados!$C$2:$C$301,"Antes",Chamados!$G$2:$G$301,$A32))</f>
        <v/>
      </c>
      <c r="C32" s="5">
        <f>IF($A32="","",COUNTIFS(Chamados!$C$2:$C$301,"Depois",Chamados!$G$2:$G$301,$A32))</f>
        <v/>
      </c>
    </row>
    <row r="33">
      <c r="A33" s="5">
        <f>IF(Categorias!$A$10="","",Categorias!$A$10)</f>
        <v/>
      </c>
      <c r="B33" s="5">
        <f>IF($A33="","",COUNTIFS(Chamados!$C$2:$C$301,"Antes",Chamados!$G$2:$G$301,$A33))</f>
        <v/>
      </c>
      <c r="C33" s="5">
        <f>IF($A33="","",COUNTIFS(Chamados!$C$2:$C$301,"Depois",Chamados!$G$2:$G$301,$A33))</f>
        <v/>
      </c>
    </row>
    <row r="34">
      <c r="A34" s="5">
        <f>IF(Categorias!$A$11="","",Categorias!$A$11)</f>
        <v/>
      </c>
      <c r="B34" s="5">
        <f>IF($A34="","",COUNTIFS(Chamados!$C$2:$C$301,"Antes",Chamados!$G$2:$G$301,$A34))</f>
        <v/>
      </c>
      <c r="C34" s="5">
        <f>IF($A34="","",COUNTIFS(Chamados!$C$2:$C$301,"Depois",Chamados!$G$2:$G$301,$A34))</f>
        <v/>
      </c>
    </row>
    <row r="35">
      <c r="A35" s="5">
        <f>IF(Categorias!$A$12="","",Categorias!$A$12)</f>
        <v/>
      </c>
      <c r="B35" s="5">
        <f>IF($A35="","",COUNTIFS(Chamados!$C$2:$C$301,"Antes",Chamados!$G$2:$G$301,$A35))</f>
        <v/>
      </c>
      <c r="C35" s="5">
        <f>IF($A35="","",COUNTIFS(Chamados!$C$2:$C$301,"Depois",Chamados!$G$2:$G$301,$A35))</f>
        <v/>
      </c>
    </row>
    <row r="36">
      <c r="A36" s="5">
        <f>IF(Categorias!$A$13="","",Categorias!$A$13)</f>
        <v/>
      </c>
      <c r="B36" s="5">
        <f>IF($A36="","",COUNTIFS(Chamados!$C$2:$C$301,"Antes",Chamados!$G$2:$G$301,$A36))</f>
        <v/>
      </c>
      <c r="C36" s="5">
        <f>IF($A36="","",COUNTIFS(Chamados!$C$2:$C$301,"Depois",Chamados!$G$2:$G$301,$A36))</f>
        <v/>
      </c>
    </row>
    <row r="37">
      <c r="A37" s="5">
        <f>IF(Categorias!$A$14="","",Categorias!$A$14)</f>
        <v/>
      </c>
      <c r="B37" s="5">
        <f>IF($A37="","",COUNTIFS(Chamados!$C$2:$C$301,"Antes",Chamados!$G$2:$G$301,$A37))</f>
        <v/>
      </c>
      <c r="C37" s="5">
        <f>IF($A37="","",COUNTIFS(Chamados!$C$2:$C$301,"Depois",Chamados!$G$2:$G$301,$A37))</f>
        <v/>
      </c>
    </row>
    <row r="38">
      <c r="A38" s="5">
        <f>IF(Categorias!$A$15="","",Categorias!$A$15)</f>
        <v/>
      </c>
      <c r="B38" s="5">
        <f>IF($A38="","",COUNTIFS(Chamados!$C$2:$C$301,"Antes",Chamados!$G$2:$G$301,$A38))</f>
        <v/>
      </c>
      <c r="C38" s="5">
        <f>IF($A38="","",COUNTIFS(Chamados!$C$2:$C$301,"Depois",Chamados!$G$2:$G$301,$A38))</f>
        <v/>
      </c>
    </row>
    <row r="39">
      <c r="A39" s="5">
        <f>IF(Categorias!$A$16="","",Categorias!$A$16)</f>
        <v/>
      </c>
      <c r="B39" s="5">
        <f>IF($A39="","",COUNTIFS(Chamados!$C$2:$C$301,"Antes",Chamados!$G$2:$G$301,$A39))</f>
        <v/>
      </c>
      <c r="C39" s="5">
        <f>IF($A39="","",COUNTIFS(Chamados!$C$2:$C$301,"Depois",Chamados!$G$2:$G$301,$A39))</f>
        <v/>
      </c>
    </row>
    <row r="40">
      <c r="A40" s="5">
        <f>IF(Categorias!$A$17="","",Categorias!$A$17)</f>
        <v/>
      </c>
      <c r="B40" s="5">
        <f>IF($A40="","",COUNTIFS(Chamados!$C$2:$C$301,"Antes",Chamados!$G$2:$G$301,$A40))</f>
        <v/>
      </c>
      <c r="C40" s="5">
        <f>IF($A40="","",COUNTIFS(Chamados!$C$2:$C$301,"Depois",Chamados!$G$2:$G$301,$A40))</f>
        <v/>
      </c>
    </row>
    <row r="41">
      <c r="A41" s="5">
        <f>IF(Categorias!$A$18="","",Categorias!$A$18)</f>
        <v/>
      </c>
      <c r="B41" s="5">
        <f>IF($A41="","",COUNTIFS(Chamados!$C$2:$C$301,"Antes",Chamados!$G$2:$G$301,$A41))</f>
        <v/>
      </c>
      <c r="C41" s="5">
        <f>IF($A41="","",COUNTIFS(Chamados!$C$2:$C$301,"Depois",Chamados!$G$2:$G$301,$A41))</f>
        <v/>
      </c>
    </row>
    <row r="42">
      <c r="A42" s="5">
        <f>IF(Categorias!$A$19="","",Categorias!$A$19)</f>
        <v/>
      </c>
      <c r="B42" s="5">
        <f>IF($A42="","",COUNTIFS(Chamados!$C$2:$C$301,"Antes",Chamados!$G$2:$G$301,$A42))</f>
        <v/>
      </c>
      <c r="C42" s="5">
        <f>IF($A42="","",COUNTIFS(Chamados!$C$2:$C$301,"Depois",Chamados!$G$2:$G$301,$A42))</f>
        <v/>
      </c>
    </row>
    <row r="43">
      <c r="A43" s="5">
        <f>IF(Categorias!$A$20="","",Categorias!$A$20)</f>
        <v/>
      </c>
      <c r="B43" s="5">
        <f>IF($A43="","",COUNTIFS(Chamados!$C$2:$C$301,"Antes",Chamados!$G$2:$G$301,$A43))</f>
        <v/>
      </c>
      <c r="C43" s="5">
        <f>IF($A43="","",COUNTIFS(Chamados!$C$2:$C$301,"Depois",Chamados!$G$2:$G$301,$A43))</f>
        <v/>
      </c>
    </row>
    <row r="44">
      <c r="A44" s="5">
        <f>IF(Categorias!$A$21="","",Categorias!$A$21)</f>
        <v/>
      </c>
      <c r="B44" s="5">
        <f>IF($A44="","",COUNTIFS(Chamados!$C$2:$C$301,"Antes",Chamados!$G$2:$G$301,$A44))</f>
        <v/>
      </c>
      <c r="C44" s="5">
        <f>IF($A44="","",COUNTIFS(Chamados!$C$2:$C$301,"Depois",Chamados!$G$2:$G$301,$A44))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60" customWidth="1" min="3" max="3"/>
  </cols>
  <sheetData>
    <row r="1">
      <c r="A1" s="11" t="inlineStr">
        <is>
          <t>Categoria</t>
        </is>
      </c>
      <c r="B1" s="11" t="inlineStr">
        <is>
          <t>Tipo ITIL mais comum</t>
        </is>
      </c>
      <c r="C1" s="11" t="inlineStr">
        <is>
          <t>Exemplo</t>
        </is>
      </c>
    </row>
    <row r="2">
      <c r="A2" s="12" t="inlineStr">
        <is>
          <t>Senha / conta bloqueada</t>
        </is>
      </c>
      <c r="B2" s="12" t="inlineStr">
        <is>
          <t>Requisição de serviço</t>
        </is>
      </c>
      <c r="C2" s="12" t="inlineStr">
        <is>
          <t>Usuário bloqueou a conta do AD no início do turno</t>
        </is>
      </c>
    </row>
    <row r="3">
      <c r="A3" s="12" t="inlineStr">
        <is>
          <t>Criação de usuário (AD/WMS)</t>
        </is>
      </c>
      <c r="B3" s="12" t="inlineStr">
        <is>
          <t>Requisição de serviço</t>
        </is>
      </c>
      <c r="C3" s="12" t="inlineStr">
        <is>
          <t>Novo conferente precisa de acesso ao WMS</t>
        </is>
      </c>
    </row>
    <row r="4">
      <c r="A4" s="12" t="inlineStr">
        <is>
          <t>Alteração de perfil de acesso</t>
        </is>
      </c>
      <c r="B4" s="12" t="inlineStr">
        <is>
          <t>Requisição de serviço</t>
        </is>
      </c>
      <c r="C4" s="12" t="inlineStr">
        <is>
          <t>Operador promovido a líder precisa de permissão de ajuste de estoque</t>
        </is>
      </c>
    </row>
    <row r="5">
      <c r="A5" s="12" t="inlineStr">
        <is>
          <t>Desligamento / revogação</t>
        </is>
      </c>
      <c r="B5" s="12" t="inlineStr">
        <is>
          <t>Requisição de serviço</t>
        </is>
      </c>
      <c r="C5" s="12" t="inlineStr">
        <is>
          <t>RH informou desligamento; desabilitar conta e recolher coletor</t>
        </is>
      </c>
    </row>
    <row r="6">
      <c r="A6" s="12" t="inlineStr">
        <is>
          <t>WMS indisponível / lento</t>
        </is>
      </c>
      <c r="B6" s="12" t="inlineStr">
        <is>
          <t>Incidente</t>
        </is>
      </c>
      <c r="C6" s="12" t="inlineStr">
        <is>
          <t>Tela de separação não carrega para o turno inteiro</t>
        </is>
      </c>
    </row>
    <row r="7">
      <c r="A7" s="12" t="inlineStr">
        <is>
          <t>Coletor / leitor sem conexão</t>
        </is>
      </c>
      <c r="B7" s="12" t="inlineStr">
        <is>
          <t>Incidente</t>
        </is>
      </c>
      <c r="C7" s="12" t="inlineStr">
        <is>
          <t>Coletor não conecta ao Wi-Fi na doca 3</t>
        </is>
      </c>
    </row>
    <row r="8">
      <c r="A8" s="12" t="inlineStr">
        <is>
          <t>Impressora de etiqueta</t>
        </is>
      </c>
      <c r="B8" s="12" t="inlineStr">
        <is>
          <t>Incidente</t>
        </is>
      </c>
      <c r="C8" s="12" t="inlineStr">
        <is>
          <t>Zebra não imprime etiqueta de volume</t>
        </is>
      </c>
    </row>
    <row r="9">
      <c r="A9" s="12" t="inlineStr">
        <is>
          <t>Integração SAP / interface</t>
        </is>
      </c>
      <c r="B9" s="12" t="inlineStr">
        <is>
          <t>Incidente</t>
        </is>
      </c>
      <c r="C9" s="12" t="inlineStr">
        <is>
          <t>Pedidos do SAP não caíram no WMS</t>
        </is>
      </c>
    </row>
    <row r="10">
      <c r="A10" s="12" t="inlineStr">
        <is>
          <t>Rede / Wi-Fi</t>
        </is>
      </c>
      <c r="B10" s="12" t="inlineStr">
        <is>
          <t>Incidente</t>
        </is>
      </c>
      <c r="C10" s="12" t="inlineStr">
        <is>
          <t>Queda de sinal na área de expedição</t>
        </is>
      </c>
    </row>
    <row r="11">
      <c r="A11" s="12" t="inlineStr">
        <is>
          <t>Estação de trabalho / periférico</t>
        </is>
      </c>
      <c r="B11" s="12" t="inlineStr">
        <is>
          <t>Incidente</t>
        </is>
      </c>
      <c r="C11" s="12" t="inlineStr">
        <is>
          <t>Computador do recebimento não liga</t>
        </is>
      </c>
    </row>
    <row r="12">
      <c r="A12" s="12" t="inlineStr">
        <is>
          <t>Falha recorrente (causa raiz)</t>
        </is>
      </c>
      <c r="B12" s="12" t="inlineStr">
        <is>
          <t>Problema</t>
        </is>
      </c>
      <c r="C12" s="12" t="inlineStr">
        <is>
          <t>Mesma impressora trava toda segunda-feira</t>
        </is>
      </c>
    </row>
    <row r="13">
      <c r="A13" s="12" t="inlineStr">
        <is>
          <t>Outros</t>
        </is>
      </c>
      <c r="B13" s="12" t="inlineStr">
        <is>
          <t>Requisição de serviço</t>
        </is>
      </c>
      <c r="C13" s="12" t="inlineStr">
        <is>
          <t>Qualquer caso que não se encaixe acima</t>
        </is>
      </c>
    </row>
    <row r="14">
      <c r="A14" s="12" t="n"/>
      <c r="B14" s="12" t="n"/>
      <c r="C14" s="12" t="n"/>
    </row>
    <row r="15">
      <c r="A15" s="12" t="n"/>
      <c r="B15" s="12" t="n"/>
      <c r="C15" s="12" t="n"/>
    </row>
    <row r="16">
      <c r="A16" s="12" t="n"/>
      <c r="B16" s="12" t="n"/>
      <c r="C16" s="12" t="n"/>
    </row>
    <row r="17">
      <c r="A17" s="12" t="n"/>
      <c r="B17" s="12" t="n"/>
      <c r="C17" s="12" t="n"/>
    </row>
    <row r="18">
      <c r="A18" s="12" t="n"/>
      <c r="B18" s="12" t="n"/>
      <c r="C18" s="12" t="n"/>
    </row>
    <row r="19">
      <c r="A19" s="12" t="n"/>
      <c r="B19" s="12" t="n"/>
      <c r="C19" s="12" t="n"/>
    </row>
    <row r="20">
      <c r="A20" s="12" t="n"/>
      <c r="B20" s="12" t="n"/>
      <c r="C20" s="12" t="n"/>
    </row>
    <row r="21">
      <c r="A21" s="12" t="n"/>
      <c r="B21" s="12" t="n"/>
      <c r="C21" s="1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36" customWidth="1" min="3" max="3"/>
    <col width="12" customWidth="1" min="4" max="4"/>
    <col width="12" customWidth="1" min="5" max="5"/>
  </cols>
  <sheetData>
    <row r="1">
      <c r="A1" s="4" t="inlineStr">
        <is>
          <t>Matriz de prioridade — Impacto × Urgência</t>
        </is>
      </c>
      <c r="B1" s="5" t="n"/>
      <c r="C1" s="5" t="n"/>
      <c r="D1" s="5" t="n"/>
      <c r="E1" s="5" t="n"/>
    </row>
    <row r="2">
      <c r="A2" s="5" t="n"/>
      <c r="B2" s="5" t="n"/>
      <c r="C2" s="5" t="n"/>
      <c r="D2" s="5" t="n"/>
      <c r="E2" s="5" t="n"/>
    </row>
    <row r="3">
      <c r="A3" s="13" t="inlineStr">
        <is>
          <t>Impacto \ Urgência</t>
        </is>
      </c>
      <c r="B3" s="5" t="n"/>
      <c r="C3" s="13" t="inlineStr">
        <is>
          <t>1 - Alta</t>
        </is>
      </c>
      <c r="D3" s="13" t="inlineStr">
        <is>
          <t>2 - Média</t>
        </is>
      </c>
      <c r="E3" s="13" t="inlineStr">
        <is>
          <t>3 - Baixa</t>
        </is>
      </c>
    </row>
    <row r="4">
      <c r="A4" s="5" t="n"/>
      <c r="B4" s="5" t="n"/>
      <c r="C4" s="5" t="n"/>
      <c r="D4" s="5" t="n"/>
      <c r="E4" s="5" t="n"/>
    </row>
    <row r="5">
      <c r="A5" s="13" t="inlineStr">
        <is>
          <t>1 - Alto</t>
        </is>
      </c>
      <c r="B5" s="5" t="n"/>
      <c r="C5" s="14" t="inlineStr">
        <is>
          <t>P1</t>
        </is>
      </c>
      <c r="D5" s="15" t="inlineStr">
        <is>
          <t>P2</t>
        </is>
      </c>
      <c r="E5" s="16" t="inlineStr">
        <is>
          <t>P3</t>
        </is>
      </c>
    </row>
    <row r="6">
      <c r="A6" s="13" t="inlineStr">
        <is>
          <t>2 - Médio</t>
        </is>
      </c>
      <c r="B6" s="5" t="n"/>
      <c r="C6" s="15" t="inlineStr">
        <is>
          <t>P2</t>
        </is>
      </c>
      <c r="D6" s="16" t="inlineStr">
        <is>
          <t>P3</t>
        </is>
      </c>
      <c r="E6" s="17" t="inlineStr">
        <is>
          <t>P4</t>
        </is>
      </c>
    </row>
    <row r="7">
      <c r="A7" s="13" t="inlineStr">
        <is>
          <t>3 - Baixo</t>
        </is>
      </c>
      <c r="B7" s="5" t="n"/>
      <c r="C7" s="16" t="inlineStr">
        <is>
          <t>P3</t>
        </is>
      </c>
      <c r="D7" s="17" t="inlineStr">
        <is>
          <t>P4</t>
        </is>
      </c>
      <c r="E7" s="17" t="inlineStr">
        <is>
          <t>P4</t>
        </is>
      </c>
    </row>
    <row r="8">
      <c r="A8" s="5" t="n"/>
      <c r="B8" s="5" t="n"/>
      <c r="C8" s="5" t="n"/>
      <c r="D8" s="5" t="n"/>
      <c r="E8" s="5" t="n"/>
    </row>
    <row r="9">
      <c r="A9" s="7" t="inlineStr">
        <is>
          <t>Prioridade</t>
        </is>
      </c>
      <c r="B9" s="7" t="inlineStr">
        <is>
          <t>Significado</t>
        </is>
      </c>
      <c r="C9" s="7" t="inlineStr">
        <is>
          <t>Prazo de atendimento (sugestão, ajuste)</t>
        </is>
      </c>
      <c r="D9" s="5" t="n"/>
      <c r="E9" s="5" t="n"/>
    </row>
    <row r="10">
      <c r="A10" s="18" t="inlineStr">
        <is>
          <t>P1</t>
        </is>
      </c>
      <c r="B10" s="18" t="inlineStr">
        <is>
          <t>Operação parada (ex.: WMS fora, expedição sem etiqueta)</t>
        </is>
      </c>
      <c r="C10" s="12" t="inlineStr">
        <is>
          <t>30 min</t>
        </is>
      </c>
      <c r="D10" s="5" t="n"/>
      <c r="E10" s="5" t="n"/>
    </row>
    <row r="11">
      <c r="A11" s="18" t="inlineStr">
        <is>
          <t>P2</t>
        </is>
      </c>
      <c r="B11" s="18" t="inlineStr">
        <is>
          <t>Setor prejudicado, com contorno possível</t>
        </is>
      </c>
      <c r="C11" s="12" t="inlineStr">
        <is>
          <t>2 h</t>
        </is>
      </c>
      <c r="D11" s="5" t="n"/>
      <c r="E11" s="5" t="n"/>
    </row>
    <row r="12">
      <c r="A12" s="18" t="inlineStr">
        <is>
          <t>P3</t>
        </is>
      </c>
      <c r="B12" s="18" t="inlineStr">
        <is>
          <t>Um usuário afetado ou pedido com prazo</t>
        </is>
      </c>
      <c r="C12" s="12" t="inlineStr">
        <is>
          <t>8 h úteis</t>
        </is>
      </c>
      <c r="D12" s="5" t="n"/>
      <c r="E12" s="5" t="n"/>
    </row>
    <row r="13">
      <c r="A13" s="18" t="inlineStr">
        <is>
          <t>P4</t>
        </is>
      </c>
      <c r="B13" s="18" t="inlineStr">
        <is>
          <t>Pode ser planejado</t>
        </is>
      </c>
      <c r="C13" s="12" t="inlineStr">
        <is>
          <t>3 dias úteis</t>
        </is>
      </c>
      <c r="D13" s="5" t="n"/>
      <c r="E13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16" customWidth="1" min="4" max="4"/>
    <col width="48" customWidth="1" min="5" max="5"/>
    <col width="22" customWidth="1" min="6" max="6"/>
    <col width="30" customWidth="1" min="7" max="7"/>
    <col width="11" customWidth="1" min="8" max="8"/>
    <col width="11" customWidth="1" min="9" max="9"/>
    <col width="11" customWidth="1" min="10" max="10"/>
    <col width="30" customWidth="1" min="11" max="11"/>
    <col width="11" customWidth="1" min="12" max="12"/>
    <col width="14" customWidth="1" min="13" max="13"/>
  </cols>
  <sheetData>
    <row r="1">
      <c r="A1" s="11" t="inlineStr">
        <is>
          <t>ID</t>
        </is>
      </c>
      <c r="B1" s="11" t="inlineStr">
        <is>
          <t>Data</t>
        </is>
      </c>
      <c r="C1" s="11" t="inlineStr">
        <is>
          <t>Período</t>
        </is>
      </c>
      <c r="D1" s="11" t="inlineStr">
        <is>
          <t>Setor</t>
        </is>
      </c>
      <c r="E1" s="11" t="inlineStr">
        <is>
          <t>Descrição (sem nomes/logins)</t>
        </is>
      </c>
      <c r="F1" s="11" t="inlineStr">
        <is>
          <t>Tipo ITIL</t>
        </is>
      </c>
      <c r="G1" s="11" t="inlineStr">
        <is>
          <t>Categoria</t>
        </is>
      </c>
      <c r="H1" s="11" t="inlineStr">
        <is>
          <t>Impacto (1-3)</t>
        </is>
      </c>
      <c r="I1" s="11" t="inlineStr">
        <is>
          <t>Urgência (1-3)</t>
        </is>
      </c>
      <c r="J1" s="11" t="inlineStr">
        <is>
          <t>Prioridade</t>
        </is>
      </c>
      <c r="K1" s="11" t="inlineStr">
        <is>
          <t>Categoria sugerida pela IA</t>
        </is>
      </c>
      <c r="L1" s="11" t="inlineStr">
        <is>
          <t>IA acertou?</t>
        </is>
      </c>
      <c r="M1" s="11" t="inlineStr">
        <is>
          <t>Tempo de solução (min)</t>
        </is>
      </c>
    </row>
    <row r="2">
      <c r="A2" s="19" t="n">
        <v>1</v>
      </c>
      <c r="B2" s="19" t="inlineStr">
        <is>
          <t>15/09/2026</t>
        </is>
      </c>
      <c r="C2" s="19" t="inlineStr">
        <is>
          <t>Antes</t>
        </is>
      </c>
      <c r="D2" s="19" t="inlineStr">
        <is>
          <t>Expedição</t>
        </is>
      </c>
      <c r="E2" s="19" t="inlineStr">
        <is>
          <t>Impressora de etiqueta da doca 2 não imprime</t>
        </is>
      </c>
      <c r="F2" s="19" t="inlineStr">
        <is>
          <t>Incidente</t>
        </is>
      </c>
      <c r="G2" s="19" t="inlineStr">
        <is>
          <t>Impressora de etiqueta</t>
        </is>
      </c>
      <c r="H2" s="19" t="n">
        <v>2</v>
      </c>
      <c r="I2" s="19" t="n">
        <v>1</v>
      </c>
      <c r="J2" s="18">
        <f>IF(OR(H2="",I2=""),"",INDEX(Matriz!$C$5:$E$7,H2,I2))</f>
        <v/>
      </c>
      <c r="K2" s="19" t="inlineStr">
        <is>
          <t>Impressora de etiqueta</t>
        </is>
      </c>
      <c r="L2" s="18">
        <f>IF(OR(K2="",G2=""),"",IF(K2=G2,"Sim","Não"))</f>
        <v/>
      </c>
      <c r="M2" s="19" t="n">
        <v>25</v>
      </c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8">
        <f>IF(OR(H3="",I3=""),"",INDEX(Matriz!$C$5:$E$7,H3,I3))</f>
        <v/>
      </c>
      <c r="K3" s="12" t="n"/>
      <c r="L3" s="18">
        <f>IF(OR(K3="",G3=""),"",IF(K3=G3,"Sim","Não"))</f>
        <v/>
      </c>
      <c r="M3" s="12" t="n"/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8">
        <f>IF(OR(H4="",I4=""),"",INDEX(Matriz!$C$5:$E$7,H4,I4))</f>
        <v/>
      </c>
      <c r="K4" s="12" t="n"/>
      <c r="L4" s="18">
        <f>IF(OR(K4="",G4=""),"",IF(K4=G4,"Sim","Não"))</f>
        <v/>
      </c>
      <c r="M4" s="12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8">
        <f>IF(OR(H5="",I5=""),"",INDEX(Matriz!$C$5:$E$7,H5,I5))</f>
        <v/>
      </c>
      <c r="K5" s="12" t="n"/>
      <c r="L5" s="18">
        <f>IF(OR(K5="",G5=""),"",IF(K5=G5,"Sim","Não"))</f>
        <v/>
      </c>
      <c r="M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8">
        <f>IF(OR(H6="",I6=""),"",INDEX(Matriz!$C$5:$E$7,H6,I6))</f>
        <v/>
      </c>
      <c r="K6" s="12" t="n"/>
      <c r="L6" s="18">
        <f>IF(OR(K6="",G6=""),"",IF(K6=G6,"Sim","Não"))</f>
        <v/>
      </c>
      <c r="M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8">
        <f>IF(OR(H7="",I7=""),"",INDEX(Matriz!$C$5:$E$7,H7,I7))</f>
        <v/>
      </c>
      <c r="K7" s="12" t="n"/>
      <c r="L7" s="18">
        <f>IF(OR(K7="",G7=""),"",IF(K7=G7,"Sim","Não"))</f>
        <v/>
      </c>
      <c r="M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8">
        <f>IF(OR(H8="",I8=""),"",INDEX(Matriz!$C$5:$E$7,H8,I8))</f>
        <v/>
      </c>
      <c r="K8" s="12" t="n"/>
      <c r="L8" s="18">
        <f>IF(OR(K8="",G8=""),"",IF(K8=G8,"Sim","Não"))</f>
        <v/>
      </c>
      <c r="M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8">
        <f>IF(OR(H9="",I9=""),"",INDEX(Matriz!$C$5:$E$7,H9,I9))</f>
        <v/>
      </c>
      <c r="K9" s="12" t="n"/>
      <c r="L9" s="18">
        <f>IF(OR(K9="",G9=""),"",IF(K9=G9,"Sim","Não"))</f>
        <v/>
      </c>
      <c r="M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8">
        <f>IF(OR(H10="",I10=""),"",INDEX(Matriz!$C$5:$E$7,H10,I10))</f>
        <v/>
      </c>
      <c r="K10" s="12" t="n"/>
      <c r="L10" s="18">
        <f>IF(OR(K10="",G10=""),"",IF(K10=G10,"Sim","Não"))</f>
        <v/>
      </c>
      <c r="M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8">
        <f>IF(OR(H11="",I11=""),"",INDEX(Matriz!$C$5:$E$7,H11,I11))</f>
        <v/>
      </c>
      <c r="K11" s="12" t="n"/>
      <c r="L11" s="18">
        <f>IF(OR(K11="",G11=""),"",IF(K11=G11,"Sim","Não"))</f>
        <v/>
      </c>
      <c r="M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8">
        <f>IF(OR(H12="",I12=""),"",INDEX(Matriz!$C$5:$E$7,H12,I12))</f>
        <v/>
      </c>
      <c r="K12" s="12" t="n"/>
      <c r="L12" s="18">
        <f>IF(OR(K12="",G12=""),"",IF(K12=G12,"Sim","Não"))</f>
        <v/>
      </c>
      <c r="M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8">
        <f>IF(OR(H13="",I13=""),"",INDEX(Matriz!$C$5:$E$7,H13,I13))</f>
        <v/>
      </c>
      <c r="K13" s="12" t="n"/>
      <c r="L13" s="18">
        <f>IF(OR(K13="",G13=""),"",IF(K13=G13,"Sim","Não"))</f>
        <v/>
      </c>
      <c r="M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8">
        <f>IF(OR(H14="",I14=""),"",INDEX(Matriz!$C$5:$E$7,H14,I14))</f>
        <v/>
      </c>
      <c r="K14" s="12" t="n"/>
      <c r="L14" s="18">
        <f>IF(OR(K14="",G14=""),"",IF(K14=G14,"Sim","Não"))</f>
        <v/>
      </c>
      <c r="M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8">
        <f>IF(OR(H15="",I15=""),"",INDEX(Matriz!$C$5:$E$7,H15,I15))</f>
        <v/>
      </c>
      <c r="K15" s="12" t="n"/>
      <c r="L15" s="18">
        <f>IF(OR(K15="",G15=""),"",IF(K15=G15,"Sim","Não"))</f>
        <v/>
      </c>
      <c r="M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8">
        <f>IF(OR(H16="",I16=""),"",INDEX(Matriz!$C$5:$E$7,H16,I16))</f>
        <v/>
      </c>
      <c r="K16" s="12" t="n"/>
      <c r="L16" s="18">
        <f>IF(OR(K16="",G16=""),"",IF(K16=G16,"Sim","Não"))</f>
        <v/>
      </c>
      <c r="M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8">
        <f>IF(OR(H17="",I17=""),"",INDEX(Matriz!$C$5:$E$7,H17,I17))</f>
        <v/>
      </c>
      <c r="K17" s="12" t="n"/>
      <c r="L17" s="18">
        <f>IF(OR(K17="",G17=""),"",IF(K17=G17,"Sim","Não"))</f>
        <v/>
      </c>
      <c r="M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8">
        <f>IF(OR(H18="",I18=""),"",INDEX(Matriz!$C$5:$E$7,H18,I18))</f>
        <v/>
      </c>
      <c r="K18" s="12" t="n"/>
      <c r="L18" s="18">
        <f>IF(OR(K18="",G18=""),"",IF(K18=G18,"Sim","Não"))</f>
        <v/>
      </c>
      <c r="M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8">
        <f>IF(OR(H19="",I19=""),"",INDEX(Matriz!$C$5:$E$7,H19,I19))</f>
        <v/>
      </c>
      <c r="K19" s="12" t="n"/>
      <c r="L19" s="18">
        <f>IF(OR(K19="",G19=""),"",IF(K19=G19,"Sim","Não"))</f>
        <v/>
      </c>
      <c r="M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8">
        <f>IF(OR(H20="",I20=""),"",INDEX(Matriz!$C$5:$E$7,H20,I20))</f>
        <v/>
      </c>
      <c r="K20" s="12" t="n"/>
      <c r="L20" s="18">
        <f>IF(OR(K20="",G20=""),"",IF(K20=G20,"Sim","Não"))</f>
        <v/>
      </c>
      <c r="M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8">
        <f>IF(OR(H21="",I21=""),"",INDEX(Matriz!$C$5:$E$7,H21,I21))</f>
        <v/>
      </c>
      <c r="K21" s="12" t="n"/>
      <c r="L21" s="18">
        <f>IF(OR(K21="",G21=""),"",IF(K21=G21,"Sim","Não"))</f>
        <v/>
      </c>
      <c r="M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8">
        <f>IF(OR(H22="",I22=""),"",INDEX(Matriz!$C$5:$E$7,H22,I22))</f>
        <v/>
      </c>
      <c r="K22" s="12" t="n"/>
      <c r="L22" s="18">
        <f>IF(OR(K22="",G22=""),"",IF(K22=G22,"Sim","Não"))</f>
        <v/>
      </c>
      <c r="M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8">
        <f>IF(OR(H23="",I23=""),"",INDEX(Matriz!$C$5:$E$7,H23,I23))</f>
        <v/>
      </c>
      <c r="K23" s="12" t="n"/>
      <c r="L23" s="18">
        <f>IF(OR(K23="",G23=""),"",IF(K23=G23,"Sim","Não"))</f>
        <v/>
      </c>
      <c r="M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8">
        <f>IF(OR(H24="",I24=""),"",INDEX(Matriz!$C$5:$E$7,H24,I24))</f>
        <v/>
      </c>
      <c r="K24" s="12" t="n"/>
      <c r="L24" s="18">
        <f>IF(OR(K24="",G24=""),"",IF(K24=G24,"Sim","Não"))</f>
        <v/>
      </c>
      <c r="M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8">
        <f>IF(OR(H25="",I25=""),"",INDEX(Matriz!$C$5:$E$7,H25,I25))</f>
        <v/>
      </c>
      <c r="K25" s="12" t="n"/>
      <c r="L25" s="18">
        <f>IF(OR(K25="",G25=""),"",IF(K25=G25,"Sim","Não"))</f>
        <v/>
      </c>
      <c r="M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8">
        <f>IF(OR(H26="",I26=""),"",INDEX(Matriz!$C$5:$E$7,H26,I26))</f>
        <v/>
      </c>
      <c r="K26" s="12" t="n"/>
      <c r="L26" s="18">
        <f>IF(OR(K26="",G26=""),"",IF(K26=G26,"Sim","Não"))</f>
        <v/>
      </c>
      <c r="M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8">
        <f>IF(OR(H27="",I27=""),"",INDEX(Matriz!$C$5:$E$7,H27,I27))</f>
        <v/>
      </c>
      <c r="K27" s="12" t="n"/>
      <c r="L27" s="18">
        <f>IF(OR(K27="",G27=""),"",IF(K27=G27,"Sim","Não"))</f>
        <v/>
      </c>
      <c r="M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8">
        <f>IF(OR(H28="",I28=""),"",INDEX(Matriz!$C$5:$E$7,H28,I28))</f>
        <v/>
      </c>
      <c r="K28" s="12" t="n"/>
      <c r="L28" s="18">
        <f>IF(OR(K28="",G28=""),"",IF(K28=G28,"Sim","Não"))</f>
        <v/>
      </c>
      <c r="M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8">
        <f>IF(OR(H29="",I29=""),"",INDEX(Matriz!$C$5:$E$7,H29,I29))</f>
        <v/>
      </c>
      <c r="K29" s="12" t="n"/>
      <c r="L29" s="18">
        <f>IF(OR(K29="",G29=""),"",IF(K29=G29,"Sim","Não"))</f>
        <v/>
      </c>
      <c r="M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8">
        <f>IF(OR(H30="",I30=""),"",INDEX(Matriz!$C$5:$E$7,H30,I30))</f>
        <v/>
      </c>
      <c r="K30" s="12" t="n"/>
      <c r="L30" s="18">
        <f>IF(OR(K30="",G30=""),"",IF(K30=G30,"Sim","Não"))</f>
        <v/>
      </c>
      <c r="M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8">
        <f>IF(OR(H31="",I31=""),"",INDEX(Matriz!$C$5:$E$7,H31,I31))</f>
        <v/>
      </c>
      <c r="K31" s="12" t="n"/>
      <c r="L31" s="18">
        <f>IF(OR(K31="",G31=""),"",IF(K31=G31,"Sim","Não"))</f>
        <v/>
      </c>
      <c r="M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8">
        <f>IF(OR(H32="",I32=""),"",INDEX(Matriz!$C$5:$E$7,H32,I32))</f>
        <v/>
      </c>
      <c r="K32" s="12" t="n"/>
      <c r="L32" s="18">
        <f>IF(OR(K32="",G32=""),"",IF(K32=G32,"Sim","Não"))</f>
        <v/>
      </c>
      <c r="M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8">
        <f>IF(OR(H33="",I33=""),"",INDEX(Matriz!$C$5:$E$7,H33,I33))</f>
        <v/>
      </c>
      <c r="K33" s="12" t="n"/>
      <c r="L33" s="18">
        <f>IF(OR(K33="",G33=""),"",IF(K33=G33,"Sim","Não"))</f>
        <v/>
      </c>
      <c r="M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8">
        <f>IF(OR(H34="",I34=""),"",INDEX(Matriz!$C$5:$E$7,H34,I34))</f>
        <v/>
      </c>
      <c r="K34" s="12" t="n"/>
      <c r="L34" s="18">
        <f>IF(OR(K34="",G34=""),"",IF(K34=G34,"Sim","Não"))</f>
        <v/>
      </c>
      <c r="M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8">
        <f>IF(OR(H35="",I35=""),"",INDEX(Matriz!$C$5:$E$7,H35,I35))</f>
        <v/>
      </c>
      <c r="K35" s="12" t="n"/>
      <c r="L35" s="18">
        <f>IF(OR(K35="",G35=""),"",IF(K35=G35,"Sim","Não"))</f>
        <v/>
      </c>
      <c r="M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8">
        <f>IF(OR(H36="",I36=""),"",INDEX(Matriz!$C$5:$E$7,H36,I36))</f>
        <v/>
      </c>
      <c r="K36" s="12" t="n"/>
      <c r="L36" s="18">
        <f>IF(OR(K36="",G36=""),"",IF(K36=G36,"Sim","Não"))</f>
        <v/>
      </c>
      <c r="M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8">
        <f>IF(OR(H37="",I37=""),"",INDEX(Matriz!$C$5:$E$7,H37,I37))</f>
        <v/>
      </c>
      <c r="K37" s="12" t="n"/>
      <c r="L37" s="18">
        <f>IF(OR(K37="",G37=""),"",IF(K37=G37,"Sim","Não"))</f>
        <v/>
      </c>
      <c r="M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8">
        <f>IF(OR(H38="",I38=""),"",INDEX(Matriz!$C$5:$E$7,H38,I38))</f>
        <v/>
      </c>
      <c r="K38" s="12" t="n"/>
      <c r="L38" s="18">
        <f>IF(OR(K38="",G38=""),"",IF(K38=G38,"Sim","Não"))</f>
        <v/>
      </c>
      <c r="M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8">
        <f>IF(OR(H39="",I39=""),"",INDEX(Matriz!$C$5:$E$7,H39,I39))</f>
        <v/>
      </c>
      <c r="K39" s="12" t="n"/>
      <c r="L39" s="18">
        <f>IF(OR(K39="",G39=""),"",IF(K39=G39,"Sim","Não"))</f>
        <v/>
      </c>
      <c r="M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8">
        <f>IF(OR(H40="",I40=""),"",INDEX(Matriz!$C$5:$E$7,H40,I40))</f>
        <v/>
      </c>
      <c r="K40" s="12" t="n"/>
      <c r="L40" s="18">
        <f>IF(OR(K40="",G40=""),"",IF(K40=G40,"Sim","Não"))</f>
        <v/>
      </c>
      <c r="M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8">
        <f>IF(OR(H41="",I41=""),"",INDEX(Matriz!$C$5:$E$7,H41,I41))</f>
        <v/>
      </c>
      <c r="K41" s="12" t="n"/>
      <c r="L41" s="18">
        <f>IF(OR(K41="",G41=""),"",IF(K41=G41,"Sim","Não"))</f>
        <v/>
      </c>
      <c r="M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8">
        <f>IF(OR(H42="",I42=""),"",INDEX(Matriz!$C$5:$E$7,H42,I42))</f>
        <v/>
      </c>
      <c r="K42" s="12" t="n"/>
      <c r="L42" s="18">
        <f>IF(OR(K42="",G42=""),"",IF(K42=G42,"Sim","Não"))</f>
        <v/>
      </c>
      <c r="M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8">
        <f>IF(OR(H43="",I43=""),"",INDEX(Matriz!$C$5:$E$7,H43,I43))</f>
        <v/>
      </c>
      <c r="K43" s="12" t="n"/>
      <c r="L43" s="18">
        <f>IF(OR(K43="",G43=""),"",IF(K43=G43,"Sim","Não"))</f>
        <v/>
      </c>
      <c r="M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8">
        <f>IF(OR(H44="",I44=""),"",INDEX(Matriz!$C$5:$E$7,H44,I44))</f>
        <v/>
      </c>
      <c r="K44" s="12" t="n"/>
      <c r="L44" s="18">
        <f>IF(OR(K44="",G44=""),"",IF(K44=G44,"Sim","Não"))</f>
        <v/>
      </c>
      <c r="M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8">
        <f>IF(OR(H45="",I45=""),"",INDEX(Matriz!$C$5:$E$7,H45,I45))</f>
        <v/>
      </c>
      <c r="K45" s="12" t="n"/>
      <c r="L45" s="18">
        <f>IF(OR(K45="",G45=""),"",IF(K45=G45,"Sim","Não"))</f>
        <v/>
      </c>
      <c r="M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8">
        <f>IF(OR(H46="",I46=""),"",INDEX(Matriz!$C$5:$E$7,H46,I46))</f>
        <v/>
      </c>
      <c r="K46" s="12" t="n"/>
      <c r="L46" s="18">
        <f>IF(OR(K46="",G46=""),"",IF(K46=G46,"Sim","Não"))</f>
        <v/>
      </c>
      <c r="M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8">
        <f>IF(OR(H47="",I47=""),"",INDEX(Matriz!$C$5:$E$7,H47,I47))</f>
        <v/>
      </c>
      <c r="K47" s="12" t="n"/>
      <c r="L47" s="18">
        <f>IF(OR(K47="",G47=""),"",IF(K47=G47,"Sim","Não"))</f>
        <v/>
      </c>
      <c r="M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8">
        <f>IF(OR(H48="",I48=""),"",INDEX(Matriz!$C$5:$E$7,H48,I48))</f>
        <v/>
      </c>
      <c r="K48" s="12" t="n"/>
      <c r="L48" s="18">
        <f>IF(OR(K48="",G48=""),"",IF(K48=G48,"Sim","Não"))</f>
        <v/>
      </c>
      <c r="M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8">
        <f>IF(OR(H49="",I49=""),"",INDEX(Matriz!$C$5:$E$7,H49,I49))</f>
        <v/>
      </c>
      <c r="K49" s="12" t="n"/>
      <c r="L49" s="18">
        <f>IF(OR(K49="",G49=""),"",IF(K49=G49,"Sim","Não"))</f>
        <v/>
      </c>
      <c r="M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8">
        <f>IF(OR(H50="",I50=""),"",INDEX(Matriz!$C$5:$E$7,H50,I50))</f>
        <v/>
      </c>
      <c r="K50" s="12" t="n"/>
      <c r="L50" s="18">
        <f>IF(OR(K50="",G50=""),"",IF(K50=G50,"Sim","Não"))</f>
        <v/>
      </c>
      <c r="M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8">
        <f>IF(OR(H51="",I51=""),"",INDEX(Matriz!$C$5:$E$7,H51,I51))</f>
        <v/>
      </c>
      <c r="K51" s="12" t="n"/>
      <c r="L51" s="18">
        <f>IF(OR(K51="",G51=""),"",IF(K51=G51,"Sim","Não"))</f>
        <v/>
      </c>
      <c r="M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8">
        <f>IF(OR(H52="",I52=""),"",INDEX(Matriz!$C$5:$E$7,H52,I52))</f>
        <v/>
      </c>
      <c r="K52" s="12" t="n"/>
      <c r="L52" s="18">
        <f>IF(OR(K52="",G52=""),"",IF(K52=G52,"Sim","Não"))</f>
        <v/>
      </c>
      <c r="M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8">
        <f>IF(OR(H53="",I53=""),"",INDEX(Matriz!$C$5:$E$7,H53,I53))</f>
        <v/>
      </c>
      <c r="K53" s="12" t="n"/>
      <c r="L53" s="18">
        <f>IF(OR(K53="",G53=""),"",IF(K53=G53,"Sim","Não"))</f>
        <v/>
      </c>
      <c r="M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8">
        <f>IF(OR(H54="",I54=""),"",INDEX(Matriz!$C$5:$E$7,H54,I54))</f>
        <v/>
      </c>
      <c r="K54" s="12" t="n"/>
      <c r="L54" s="18">
        <f>IF(OR(K54="",G54=""),"",IF(K54=G54,"Sim","Não"))</f>
        <v/>
      </c>
      <c r="M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8">
        <f>IF(OR(H55="",I55=""),"",INDEX(Matriz!$C$5:$E$7,H55,I55))</f>
        <v/>
      </c>
      <c r="K55" s="12" t="n"/>
      <c r="L55" s="18">
        <f>IF(OR(K55="",G55=""),"",IF(K55=G55,"Sim","Não"))</f>
        <v/>
      </c>
      <c r="M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8">
        <f>IF(OR(H56="",I56=""),"",INDEX(Matriz!$C$5:$E$7,H56,I56))</f>
        <v/>
      </c>
      <c r="K56" s="12" t="n"/>
      <c r="L56" s="18">
        <f>IF(OR(K56="",G56=""),"",IF(K56=G56,"Sim","Não"))</f>
        <v/>
      </c>
      <c r="M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8">
        <f>IF(OR(H57="",I57=""),"",INDEX(Matriz!$C$5:$E$7,H57,I57))</f>
        <v/>
      </c>
      <c r="K57" s="12" t="n"/>
      <c r="L57" s="18">
        <f>IF(OR(K57="",G57=""),"",IF(K57=G57,"Sim","Não"))</f>
        <v/>
      </c>
      <c r="M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8">
        <f>IF(OR(H58="",I58=""),"",INDEX(Matriz!$C$5:$E$7,H58,I58))</f>
        <v/>
      </c>
      <c r="K58" s="12" t="n"/>
      <c r="L58" s="18">
        <f>IF(OR(K58="",G58=""),"",IF(K58=G58,"Sim","Não"))</f>
        <v/>
      </c>
      <c r="M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8">
        <f>IF(OR(H59="",I59=""),"",INDEX(Matriz!$C$5:$E$7,H59,I59))</f>
        <v/>
      </c>
      <c r="K59" s="12" t="n"/>
      <c r="L59" s="18">
        <f>IF(OR(K59="",G59=""),"",IF(K59=G59,"Sim","Não"))</f>
        <v/>
      </c>
      <c r="M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8">
        <f>IF(OR(H60="",I60=""),"",INDEX(Matriz!$C$5:$E$7,H60,I60))</f>
        <v/>
      </c>
      <c r="K60" s="12" t="n"/>
      <c r="L60" s="18">
        <f>IF(OR(K60="",G60=""),"",IF(K60=G60,"Sim","Não"))</f>
        <v/>
      </c>
      <c r="M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8">
        <f>IF(OR(H61="",I61=""),"",INDEX(Matriz!$C$5:$E$7,H61,I61))</f>
        <v/>
      </c>
      <c r="K61" s="12" t="n"/>
      <c r="L61" s="18">
        <f>IF(OR(K61="",G61=""),"",IF(K61=G61,"Sim","Não"))</f>
        <v/>
      </c>
      <c r="M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8">
        <f>IF(OR(H62="",I62=""),"",INDEX(Matriz!$C$5:$E$7,H62,I62))</f>
        <v/>
      </c>
      <c r="K62" s="12" t="n"/>
      <c r="L62" s="18">
        <f>IF(OR(K62="",G62=""),"",IF(K62=G62,"Sim","Não"))</f>
        <v/>
      </c>
      <c r="M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8">
        <f>IF(OR(H63="",I63=""),"",INDEX(Matriz!$C$5:$E$7,H63,I63))</f>
        <v/>
      </c>
      <c r="K63" s="12" t="n"/>
      <c r="L63" s="18">
        <f>IF(OR(K63="",G63=""),"",IF(K63=G63,"Sim","Não"))</f>
        <v/>
      </c>
      <c r="M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8">
        <f>IF(OR(H64="",I64=""),"",INDEX(Matriz!$C$5:$E$7,H64,I64))</f>
        <v/>
      </c>
      <c r="K64" s="12" t="n"/>
      <c r="L64" s="18">
        <f>IF(OR(K64="",G64=""),"",IF(K64=G64,"Sim","Não"))</f>
        <v/>
      </c>
      <c r="M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8">
        <f>IF(OR(H65="",I65=""),"",INDEX(Matriz!$C$5:$E$7,H65,I65))</f>
        <v/>
      </c>
      <c r="K65" s="12" t="n"/>
      <c r="L65" s="18">
        <f>IF(OR(K65="",G65=""),"",IF(K65=G65,"Sim","Não"))</f>
        <v/>
      </c>
      <c r="M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8">
        <f>IF(OR(H66="",I66=""),"",INDEX(Matriz!$C$5:$E$7,H66,I66))</f>
        <v/>
      </c>
      <c r="K66" s="12" t="n"/>
      <c r="L66" s="18">
        <f>IF(OR(K66="",G66=""),"",IF(K66=G66,"Sim","Não"))</f>
        <v/>
      </c>
      <c r="M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8">
        <f>IF(OR(H67="",I67=""),"",INDEX(Matriz!$C$5:$E$7,H67,I67))</f>
        <v/>
      </c>
      <c r="K67" s="12" t="n"/>
      <c r="L67" s="18">
        <f>IF(OR(K67="",G67=""),"",IF(K67=G67,"Sim","Não"))</f>
        <v/>
      </c>
      <c r="M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8">
        <f>IF(OR(H68="",I68=""),"",INDEX(Matriz!$C$5:$E$7,H68,I68))</f>
        <v/>
      </c>
      <c r="K68" s="12" t="n"/>
      <c r="L68" s="18">
        <f>IF(OR(K68="",G68=""),"",IF(K68=G68,"Sim","Não"))</f>
        <v/>
      </c>
      <c r="M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8">
        <f>IF(OR(H69="",I69=""),"",INDEX(Matriz!$C$5:$E$7,H69,I69))</f>
        <v/>
      </c>
      <c r="K69" s="12" t="n"/>
      <c r="L69" s="18">
        <f>IF(OR(K69="",G69=""),"",IF(K69=G69,"Sim","Não"))</f>
        <v/>
      </c>
      <c r="M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8">
        <f>IF(OR(H70="",I70=""),"",INDEX(Matriz!$C$5:$E$7,H70,I70))</f>
        <v/>
      </c>
      <c r="K70" s="12" t="n"/>
      <c r="L70" s="18">
        <f>IF(OR(K70="",G70=""),"",IF(K70=G70,"Sim","Não"))</f>
        <v/>
      </c>
      <c r="M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8">
        <f>IF(OR(H71="",I71=""),"",INDEX(Matriz!$C$5:$E$7,H71,I71))</f>
        <v/>
      </c>
      <c r="K71" s="12" t="n"/>
      <c r="L71" s="18">
        <f>IF(OR(K71="",G71=""),"",IF(K71=G71,"Sim","Não"))</f>
        <v/>
      </c>
      <c r="M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8">
        <f>IF(OR(H72="",I72=""),"",INDEX(Matriz!$C$5:$E$7,H72,I72))</f>
        <v/>
      </c>
      <c r="K72" s="12" t="n"/>
      <c r="L72" s="18">
        <f>IF(OR(K72="",G72=""),"",IF(K72=G72,"Sim","Não"))</f>
        <v/>
      </c>
      <c r="M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8">
        <f>IF(OR(H73="",I73=""),"",INDEX(Matriz!$C$5:$E$7,H73,I73))</f>
        <v/>
      </c>
      <c r="K73" s="12" t="n"/>
      <c r="L73" s="18">
        <f>IF(OR(K73="",G73=""),"",IF(K73=G73,"Sim","Não"))</f>
        <v/>
      </c>
      <c r="M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8">
        <f>IF(OR(H74="",I74=""),"",INDEX(Matriz!$C$5:$E$7,H74,I74))</f>
        <v/>
      </c>
      <c r="K74" s="12" t="n"/>
      <c r="L74" s="18">
        <f>IF(OR(K74="",G74=""),"",IF(K74=G74,"Sim","Não"))</f>
        <v/>
      </c>
      <c r="M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8">
        <f>IF(OR(H75="",I75=""),"",INDEX(Matriz!$C$5:$E$7,H75,I75))</f>
        <v/>
      </c>
      <c r="K75" s="12" t="n"/>
      <c r="L75" s="18">
        <f>IF(OR(K75="",G75=""),"",IF(K75=G75,"Sim","Não"))</f>
        <v/>
      </c>
      <c r="M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8">
        <f>IF(OR(H76="",I76=""),"",INDEX(Matriz!$C$5:$E$7,H76,I76))</f>
        <v/>
      </c>
      <c r="K76" s="12" t="n"/>
      <c r="L76" s="18">
        <f>IF(OR(K76="",G76=""),"",IF(K76=G76,"Sim","Não"))</f>
        <v/>
      </c>
      <c r="M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8">
        <f>IF(OR(H77="",I77=""),"",INDEX(Matriz!$C$5:$E$7,H77,I77))</f>
        <v/>
      </c>
      <c r="K77" s="12" t="n"/>
      <c r="L77" s="18">
        <f>IF(OR(K77="",G77=""),"",IF(K77=G77,"Sim","Não"))</f>
        <v/>
      </c>
      <c r="M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8">
        <f>IF(OR(H78="",I78=""),"",INDEX(Matriz!$C$5:$E$7,H78,I78))</f>
        <v/>
      </c>
      <c r="K78" s="12" t="n"/>
      <c r="L78" s="18">
        <f>IF(OR(K78="",G78=""),"",IF(K78=G78,"Sim","Não"))</f>
        <v/>
      </c>
      <c r="M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8">
        <f>IF(OR(H79="",I79=""),"",INDEX(Matriz!$C$5:$E$7,H79,I79))</f>
        <v/>
      </c>
      <c r="K79" s="12" t="n"/>
      <c r="L79" s="18">
        <f>IF(OR(K79="",G79=""),"",IF(K79=G79,"Sim","Não"))</f>
        <v/>
      </c>
      <c r="M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8">
        <f>IF(OR(H80="",I80=""),"",INDEX(Matriz!$C$5:$E$7,H80,I80))</f>
        <v/>
      </c>
      <c r="K80" s="12" t="n"/>
      <c r="L80" s="18">
        <f>IF(OR(K80="",G80=""),"",IF(K80=G80,"Sim","Não"))</f>
        <v/>
      </c>
      <c r="M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8">
        <f>IF(OR(H81="",I81=""),"",INDEX(Matriz!$C$5:$E$7,H81,I81))</f>
        <v/>
      </c>
      <c r="K81" s="12" t="n"/>
      <c r="L81" s="18">
        <f>IF(OR(K81="",G81=""),"",IF(K81=G81,"Sim","Não"))</f>
        <v/>
      </c>
      <c r="M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8">
        <f>IF(OR(H82="",I82=""),"",INDEX(Matriz!$C$5:$E$7,H82,I82))</f>
        <v/>
      </c>
      <c r="K82" s="12" t="n"/>
      <c r="L82" s="18">
        <f>IF(OR(K82="",G82=""),"",IF(K82=G82,"Sim","Não"))</f>
        <v/>
      </c>
      <c r="M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8">
        <f>IF(OR(H83="",I83=""),"",INDEX(Matriz!$C$5:$E$7,H83,I83))</f>
        <v/>
      </c>
      <c r="K83" s="12" t="n"/>
      <c r="L83" s="18">
        <f>IF(OR(K83="",G83=""),"",IF(K83=G83,"Sim","Não"))</f>
        <v/>
      </c>
      <c r="M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8">
        <f>IF(OR(H84="",I84=""),"",INDEX(Matriz!$C$5:$E$7,H84,I84))</f>
        <v/>
      </c>
      <c r="K84" s="12" t="n"/>
      <c r="L84" s="18">
        <f>IF(OR(K84="",G84=""),"",IF(K84=G84,"Sim","Não"))</f>
        <v/>
      </c>
      <c r="M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8">
        <f>IF(OR(H85="",I85=""),"",INDEX(Matriz!$C$5:$E$7,H85,I85))</f>
        <v/>
      </c>
      <c r="K85" s="12" t="n"/>
      <c r="L85" s="18">
        <f>IF(OR(K85="",G85=""),"",IF(K85=G85,"Sim","Não"))</f>
        <v/>
      </c>
      <c r="M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8">
        <f>IF(OR(H86="",I86=""),"",INDEX(Matriz!$C$5:$E$7,H86,I86))</f>
        <v/>
      </c>
      <c r="K86" s="12" t="n"/>
      <c r="L86" s="18">
        <f>IF(OR(K86="",G86=""),"",IF(K86=G86,"Sim","Não"))</f>
        <v/>
      </c>
      <c r="M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8">
        <f>IF(OR(H87="",I87=""),"",INDEX(Matriz!$C$5:$E$7,H87,I87))</f>
        <v/>
      </c>
      <c r="K87" s="12" t="n"/>
      <c r="L87" s="18">
        <f>IF(OR(K87="",G87=""),"",IF(K87=G87,"Sim","Não"))</f>
        <v/>
      </c>
      <c r="M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8">
        <f>IF(OR(H88="",I88=""),"",INDEX(Matriz!$C$5:$E$7,H88,I88))</f>
        <v/>
      </c>
      <c r="K88" s="12" t="n"/>
      <c r="L88" s="18">
        <f>IF(OR(K88="",G88=""),"",IF(K88=G88,"Sim","Não"))</f>
        <v/>
      </c>
      <c r="M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8">
        <f>IF(OR(H89="",I89=""),"",INDEX(Matriz!$C$5:$E$7,H89,I89))</f>
        <v/>
      </c>
      <c r="K89" s="12" t="n"/>
      <c r="L89" s="18">
        <f>IF(OR(K89="",G89=""),"",IF(K89=G89,"Sim","Não"))</f>
        <v/>
      </c>
      <c r="M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8">
        <f>IF(OR(H90="",I90=""),"",INDEX(Matriz!$C$5:$E$7,H90,I90))</f>
        <v/>
      </c>
      <c r="K90" s="12" t="n"/>
      <c r="L90" s="18">
        <f>IF(OR(K90="",G90=""),"",IF(K90=G90,"Sim","Não"))</f>
        <v/>
      </c>
      <c r="M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8">
        <f>IF(OR(H91="",I91=""),"",INDEX(Matriz!$C$5:$E$7,H91,I91))</f>
        <v/>
      </c>
      <c r="K91" s="12" t="n"/>
      <c r="L91" s="18">
        <f>IF(OR(K91="",G91=""),"",IF(K91=G91,"Sim","Não"))</f>
        <v/>
      </c>
      <c r="M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8">
        <f>IF(OR(H92="",I92=""),"",INDEX(Matriz!$C$5:$E$7,H92,I92))</f>
        <v/>
      </c>
      <c r="K92" s="12" t="n"/>
      <c r="L92" s="18">
        <f>IF(OR(K92="",G92=""),"",IF(K92=G92,"Sim","Não"))</f>
        <v/>
      </c>
      <c r="M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8">
        <f>IF(OR(H93="",I93=""),"",INDEX(Matriz!$C$5:$E$7,H93,I93))</f>
        <v/>
      </c>
      <c r="K93" s="12" t="n"/>
      <c r="L93" s="18">
        <f>IF(OR(K93="",G93=""),"",IF(K93=G93,"Sim","Não"))</f>
        <v/>
      </c>
      <c r="M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8">
        <f>IF(OR(H94="",I94=""),"",INDEX(Matriz!$C$5:$E$7,H94,I94))</f>
        <v/>
      </c>
      <c r="K94" s="12" t="n"/>
      <c r="L94" s="18">
        <f>IF(OR(K94="",G94=""),"",IF(K94=G94,"Sim","Não"))</f>
        <v/>
      </c>
      <c r="M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8">
        <f>IF(OR(H95="",I95=""),"",INDEX(Matriz!$C$5:$E$7,H95,I95))</f>
        <v/>
      </c>
      <c r="K95" s="12" t="n"/>
      <c r="L95" s="18">
        <f>IF(OR(K95="",G95=""),"",IF(K95=G95,"Sim","Não"))</f>
        <v/>
      </c>
      <c r="M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8">
        <f>IF(OR(H96="",I96=""),"",INDEX(Matriz!$C$5:$E$7,H96,I96))</f>
        <v/>
      </c>
      <c r="K96" s="12" t="n"/>
      <c r="L96" s="18">
        <f>IF(OR(K96="",G96=""),"",IF(K96=G96,"Sim","Não"))</f>
        <v/>
      </c>
      <c r="M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8">
        <f>IF(OR(H97="",I97=""),"",INDEX(Matriz!$C$5:$E$7,H97,I97))</f>
        <v/>
      </c>
      <c r="K97" s="12" t="n"/>
      <c r="L97" s="18">
        <f>IF(OR(K97="",G97=""),"",IF(K97=G97,"Sim","Não"))</f>
        <v/>
      </c>
      <c r="M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8">
        <f>IF(OR(H98="",I98=""),"",INDEX(Matriz!$C$5:$E$7,H98,I98))</f>
        <v/>
      </c>
      <c r="K98" s="12" t="n"/>
      <c r="L98" s="18">
        <f>IF(OR(K98="",G98=""),"",IF(K98=G98,"Sim","Não"))</f>
        <v/>
      </c>
      <c r="M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8">
        <f>IF(OR(H99="",I99=""),"",INDEX(Matriz!$C$5:$E$7,H99,I99))</f>
        <v/>
      </c>
      <c r="K99" s="12" t="n"/>
      <c r="L99" s="18">
        <f>IF(OR(K99="",G99=""),"",IF(K99=G99,"Sim","Não"))</f>
        <v/>
      </c>
      <c r="M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8">
        <f>IF(OR(H100="",I100=""),"",INDEX(Matriz!$C$5:$E$7,H100,I100))</f>
        <v/>
      </c>
      <c r="K100" s="12" t="n"/>
      <c r="L100" s="18">
        <f>IF(OR(K100="",G100=""),"",IF(K100=G100,"Sim","Não"))</f>
        <v/>
      </c>
      <c r="M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8">
        <f>IF(OR(H101="",I101=""),"",INDEX(Matriz!$C$5:$E$7,H101,I101))</f>
        <v/>
      </c>
      <c r="K101" s="12" t="n"/>
      <c r="L101" s="18">
        <f>IF(OR(K101="",G101=""),"",IF(K101=G101,"Sim","Não"))</f>
        <v/>
      </c>
      <c r="M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8">
        <f>IF(OR(H102="",I102=""),"",INDEX(Matriz!$C$5:$E$7,H102,I102))</f>
        <v/>
      </c>
      <c r="K102" s="12" t="n"/>
      <c r="L102" s="18">
        <f>IF(OR(K102="",G102=""),"",IF(K102=G102,"Sim","Não"))</f>
        <v/>
      </c>
      <c r="M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8">
        <f>IF(OR(H103="",I103=""),"",INDEX(Matriz!$C$5:$E$7,H103,I103))</f>
        <v/>
      </c>
      <c r="K103" s="12" t="n"/>
      <c r="L103" s="18">
        <f>IF(OR(K103="",G103=""),"",IF(K103=G103,"Sim","Não"))</f>
        <v/>
      </c>
      <c r="M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8">
        <f>IF(OR(H104="",I104=""),"",INDEX(Matriz!$C$5:$E$7,H104,I104))</f>
        <v/>
      </c>
      <c r="K104" s="12" t="n"/>
      <c r="L104" s="18">
        <f>IF(OR(K104="",G104=""),"",IF(K104=G104,"Sim","Não"))</f>
        <v/>
      </c>
      <c r="M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8">
        <f>IF(OR(H105="",I105=""),"",INDEX(Matriz!$C$5:$E$7,H105,I105))</f>
        <v/>
      </c>
      <c r="K105" s="12" t="n"/>
      <c r="L105" s="18">
        <f>IF(OR(K105="",G105=""),"",IF(K105=G105,"Sim","Não"))</f>
        <v/>
      </c>
      <c r="M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8">
        <f>IF(OR(H106="",I106=""),"",INDEX(Matriz!$C$5:$E$7,H106,I106))</f>
        <v/>
      </c>
      <c r="K106" s="12" t="n"/>
      <c r="L106" s="18">
        <f>IF(OR(K106="",G106=""),"",IF(K106=G106,"Sim","Não"))</f>
        <v/>
      </c>
      <c r="M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8">
        <f>IF(OR(H107="",I107=""),"",INDEX(Matriz!$C$5:$E$7,H107,I107))</f>
        <v/>
      </c>
      <c r="K107" s="12" t="n"/>
      <c r="L107" s="18">
        <f>IF(OR(K107="",G107=""),"",IF(K107=G107,"Sim","Não"))</f>
        <v/>
      </c>
      <c r="M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8">
        <f>IF(OR(H108="",I108=""),"",INDEX(Matriz!$C$5:$E$7,H108,I108))</f>
        <v/>
      </c>
      <c r="K108" s="12" t="n"/>
      <c r="L108" s="18">
        <f>IF(OR(K108="",G108=""),"",IF(K108=G108,"Sim","Não"))</f>
        <v/>
      </c>
      <c r="M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8">
        <f>IF(OR(H109="",I109=""),"",INDEX(Matriz!$C$5:$E$7,H109,I109))</f>
        <v/>
      </c>
      <c r="K109" s="12" t="n"/>
      <c r="L109" s="18">
        <f>IF(OR(K109="",G109=""),"",IF(K109=G109,"Sim","Não"))</f>
        <v/>
      </c>
      <c r="M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8">
        <f>IF(OR(H110="",I110=""),"",INDEX(Matriz!$C$5:$E$7,H110,I110))</f>
        <v/>
      </c>
      <c r="K110" s="12" t="n"/>
      <c r="L110" s="18">
        <f>IF(OR(K110="",G110=""),"",IF(K110=G110,"Sim","Não"))</f>
        <v/>
      </c>
      <c r="M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8">
        <f>IF(OR(H111="",I111=""),"",INDEX(Matriz!$C$5:$E$7,H111,I111))</f>
        <v/>
      </c>
      <c r="K111" s="12" t="n"/>
      <c r="L111" s="18">
        <f>IF(OR(K111="",G111=""),"",IF(K111=G111,"Sim","Não"))</f>
        <v/>
      </c>
      <c r="M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8">
        <f>IF(OR(H112="",I112=""),"",INDEX(Matriz!$C$5:$E$7,H112,I112))</f>
        <v/>
      </c>
      <c r="K112" s="12" t="n"/>
      <c r="L112" s="18">
        <f>IF(OR(K112="",G112=""),"",IF(K112=G112,"Sim","Não"))</f>
        <v/>
      </c>
      <c r="M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8">
        <f>IF(OR(H113="",I113=""),"",INDEX(Matriz!$C$5:$E$7,H113,I113))</f>
        <v/>
      </c>
      <c r="K113" s="12" t="n"/>
      <c r="L113" s="18">
        <f>IF(OR(K113="",G113=""),"",IF(K113=G113,"Sim","Não"))</f>
        <v/>
      </c>
      <c r="M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8">
        <f>IF(OR(H114="",I114=""),"",INDEX(Matriz!$C$5:$E$7,H114,I114))</f>
        <v/>
      </c>
      <c r="K114" s="12" t="n"/>
      <c r="L114" s="18">
        <f>IF(OR(K114="",G114=""),"",IF(K114=G114,"Sim","Não"))</f>
        <v/>
      </c>
      <c r="M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8">
        <f>IF(OR(H115="",I115=""),"",INDEX(Matriz!$C$5:$E$7,H115,I115))</f>
        <v/>
      </c>
      <c r="K115" s="12" t="n"/>
      <c r="L115" s="18">
        <f>IF(OR(K115="",G115=""),"",IF(K115=G115,"Sim","Não"))</f>
        <v/>
      </c>
      <c r="M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8">
        <f>IF(OR(H116="",I116=""),"",INDEX(Matriz!$C$5:$E$7,H116,I116))</f>
        <v/>
      </c>
      <c r="K116" s="12" t="n"/>
      <c r="L116" s="18">
        <f>IF(OR(K116="",G116=""),"",IF(K116=G116,"Sim","Não"))</f>
        <v/>
      </c>
      <c r="M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8">
        <f>IF(OR(H117="",I117=""),"",INDEX(Matriz!$C$5:$E$7,H117,I117))</f>
        <v/>
      </c>
      <c r="K117" s="12" t="n"/>
      <c r="L117" s="18">
        <f>IF(OR(K117="",G117=""),"",IF(K117=G117,"Sim","Não"))</f>
        <v/>
      </c>
      <c r="M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8">
        <f>IF(OR(H118="",I118=""),"",INDEX(Matriz!$C$5:$E$7,H118,I118))</f>
        <v/>
      </c>
      <c r="K118" s="12" t="n"/>
      <c r="L118" s="18">
        <f>IF(OR(K118="",G118=""),"",IF(K118=G118,"Sim","Não"))</f>
        <v/>
      </c>
      <c r="M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8">
        <f>IF(OR(H119="",I119=""),"",INDEX(Matriz!$C$5:$E$7,H119,I119))</f>
        <v/>
      </c>
      <c r="K119" s="12" t="n"/>
      <c r="L119" s="18">
        <f>IF(OR(K119="",G119=""),"",IF(K119=G119,"Sim","Não"))</f>
        <v/>
      </c>
      <c r="M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8">
        <f>IF(OR(H120="",I120=""),"",INDEX(Matriz!$C$5:$E$7,H120,I120))</f>
        <v/>
      </c>
      <c r="K120" s="12" t="n"/>
      <c r="L120" s="18">
        <f>IF(OR(K120="",G120=""),"",IF(K120=G120,"Sim","Não"))</f>
        <v/>
      </c>
      <c r="M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8">
        <f>IF(OR(H121="",I121=""),"",INDEX(Matriz!$C$5:$E$7,H121,I121))</f>
        <v/>
      </c>
      <c r="K121" s="12" t="n"/>
      <c r="L121" s="18">
        <f>IF(OR(K121="",G121=""),"",IF(K121=G121,"Sim","Não"))</f>
        <v/>
      </c>
      <c r="M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8">
        <f>IF(OR(H122="",I122=""),"",INDEX(Matriz!$C$5:$E$7,H122,I122))</f>
        <v/>
      </c>
      <c r="K122" s="12" t="n"/>
      <c r="L122" s="18">
        <f>IF(OR(K122="",G122=""),"",IF(K122=G122,"Sim","Não"))</f>
        <v/>
      </c>
      <c r="M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8">
        <f>IF(OR(H123="",I123=""),"",INDEX(Matriz!$C$5:$E$7,H123,I123))</f>
        <v/>
      </c>
      <c r="K123" s="12" t="n"/>
      <c r="L123" s="18">
        <f>IF(OR(K123="",G123=""),"",IF(K123=G123,"Sim","Não"))</f>
        <v/>
      </c>
      <c r="M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8">
        <f>IF(OR(H124="",I124=""),"",INDEX(Matriz!$C$5:$E$7,H124,I124))</f>
        <v/>
      </c>
      <c r="K124" s="12" t="n"/>
      <c r="L124" s="18">
        <f>IF(OR(K124="",G124=""),"",IF(K124=G124,"Sim","Não"))</f>
        <v/>
      </c>
      <c r="M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8">
        <f>IF(OR(H125="",I125=""),"",INDEX(Matriz!$C$5:$E$7,H125,I125))</f>
        <v/>
      </c>
      <c r="K125" s="12" t="n"/>
      <c r="L125" s="18">
        <f>IF(OR(K125="",G125=""),"",IF(K125=G125,"Sim","Não"))</f>
        <v/>
      </c>
      <c r="M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8">
        <f>IF(OR(H126="",I126=""),"",INDEX(Matriz!$C$5:$E$7,H126,I126))</f>
        <v/>
      </c>
      <c r="K126" s="12" t="n"/>
      <c r="L126" s="18">
        <f>IF(OR(K126="",G126=""),"",IF(K126=G126,"Sim","Não"))</f>
        <v/>
      </c>
      <c r="M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8">
        <f>IF(OR(H127="",I127=""),"",INDEX(Matriz!$C$5:$E$7,H127,I127))</f>
        <v/>
      </c>
      <c r="K127" s="12" t="n"/>
      <c r="L127" s="18">
        <f>IF(OR(K127="",G127=""),"",IF(K127=G127,"Sim","Não"))</f>
        <v/>
      </c>
      <c r="M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8">
        <f>IF(OR(H128="",I128=""),"",INDEX(Matriz!$C$5:$E$7,H128,I128))</f>
        <v/>
      </c>
      <c r="K128" s="12" t="n"/>
      <c r="L128" s="18">
        <f>IF(OR(K128="",G128=""),"",IF(K128=G128,"Sim","Não"))</f>
        <v/>
      </c>
      <c r="M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8">
        <f>IF(OR(H129="",I129=""),"",INDEX(Matriz!$C$5:$E$7,H129,I129))</f>
        <v/>
      </c>
      <c r="K129" s="12" t="n"/>
      <c r="L129" s="18">
        <f>IF(OR(K129="",G129=""),"",IF(K129=G129,"Sim","Não"))</f>
        <v/>
      </c>
      <c r="M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8">
        <f>IF(OR(H130="",I130=""),"",INDEX(Matriz!$C$5:$E$7,H130,I130))</f>
        <v/>
      </c>
      <c r="K130" s="12" t="n"/>
      <c r="L130" s="18">
        <f>IF(OR(K130="",G130=""),"",IF(K130=G130,"Sim","Não"))</f>
        <v/>
      </c>
      <c r="M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8">
        <f>IF(OR(H131="",I131=""),"",INDEX(Matriz!$C$5:$E$7,H131,I131))</f>
        <v/>
      </c>
      <c r="K131" s="12" t="n"/>
      <c r="L131" s="18">
        <f>IF(OR(K131="",G131=""),"",IF(K131=G131,"Sim","Não"))</f>
        <v/>
      </c>
      <c r="M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8">
        <f>IF(OR(H132="",I132=""),"",INDEX(Matriz!$C$5:$E$7,H132,I132))</f>
        <v/>
      </c>
      <c r="K132" s="12" t="n"/>
      <c r="L132" s="18">
        <f>IF(OR(K132="",G132=""),"",IF(K132=G132,"Sim","Não"))</f>
        <v/>
      </c>
      <c r="M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8">
        <f>IF(OR(H133="",I133=""),"",INDEX(Matriz!$C$5:$E$7,H133,I133))</f>
        <v/>
      </c>
      <c r="K133" s="12" t="n"/>
      <c r="L133" s="18">
        <f>IF(OR(K133="",G133=""),"",IF(K133=G133,"Sim","Não"))</f>
        <v/>
      </c>
      <c r="M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8">
        <f>IF(OR(H134="",I134=""),"",INDEX(Matriz!$C$5:$E$7,H134,I134))</f>
        <v/>
      </c>
      <c r="K134" s="12" t="n"/>
      <c r="L134" s="18">
        <f>IF(OR(K134="",G134=""),"",IF(K134=G134,"Sim","Não"))</f>
        <v/>
      </c>
      <c r="M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8">
        <f>IF(OR(H135="",I135=""),"",INDEX(Matriz!$C$5:$E$7,H135,I135))</f>
        <v/>
      </c>
      <c r="K135" s="12" t="n"/>
      <c r="L135" s="18">
        <f>IF(OR(K135="",G135=""),"",IF(K135=G135,"Sim","Não"))</f>
        <v/>
      </c>
      <c r="M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8">
        <f>IF(OR(H136="",I136=""),"",INDEX(Matriz!$C$5:$E$7,H136,I136))</f>
        <v/>
      </c>
      <c r="K136" s="12" t="n"/>
      <c r="L136" s="18">
        <f>IF(OR(K136="",G136=""),"",IF(K136=G136,"Sim","Não"))</f>
        <v/>
      </c>
      <c r="M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8">
        <f>IF(OR(H137="",I137=""),"",INDEX(Matriz!$C$5:$E$7,H137,I137))</f>
        <v/>
      </c>
      <c r="K137" s="12" t="n"/>
      <c r="L137" s="18">
        <f>IF(OR(K137="",G137=""),"",IF(K137=G137,"Sim","Não"))</f>
        <v/>
      </c>
      <c r="M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8">
        <f>IF(OR(H138="",I138=""),"",INDEX(Matriz!$C$5:$E$7,H138,I138))</f>
        <v/>
      </c>
      <c r="K138" s="12" t="n"/>
      <c r="L138" s="18">
        <f>IF(OR(K138="",G138=""),"",IF(K138=G138,"Sim","Não"))</f>
        <v/>
      </c>
      <c r="M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8">
        <f>IF(OR(H139="",I139=""),"",INDEX(Matriz!$C$5:$E$7,H139,I139))</f>
        <v/>
      </c>
      <c r="K139" s="12" t="n"/>
      <c r="L139" s="18">
        <f>IF(OR(K139="",G139=""),"",IF(K139=G139,"Sim","Não"))</f>
        <v/>
      </c>
      <c r="M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8">
        <f>IF(OR(H140="",I140=""),"",INDEX(Matriz!$C$5:$E$7,H140,I140))</f>
        <v/>
      </c>
      <c r="K140" s="12" t="n"/>
      <c r="L140" s="18">
        <f>IF(OR(K140="",G140=""),"",IF(K140=G140,"Sim","Não"))</f>
        <v/>
      </c>
      <c r="M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8">
        <f>IF(OR(H141="",I141=""),"",INDEX(Matriz!$C$5:$E$7,H141,I141))</f>
        <v/>
      </c>
      <c r="K141" s="12" t="n"/>
      <c r="L141" s="18">
        <f>IF(OR(K141="",G141=""),"",IF(K141=G141,"Sim","Não"))</f>
        <v/>
      </c>
      <c r="M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8">
        <f>IF(OR(H142="",I142=""),"",INDEX(Matriz!$C$5:$E$7,H142,I142))</f>
        <v/>
      </c>
      <c r="K142" s="12" t="n"/>
      <c r="L142" s="18">
        <f>IF(OR(K142="",G142=""),"",IF(K142=G142,"Sim","Não"))</f>
        <v/>
      </c>
      <c r="M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8">
        <f>IF(OR(H143="",I143=""),"",INDEX(Matriz!$C$5:$E$7,H143,I143))</f>
        <v/>
      </c>
      <c r="K143" s="12" t="n"/>
      <c r="L143" s="18">
        <f>IF(OR(K143="",G143=""),"",IF(K143=G143,"Sim","Não"))</f>
        <v/>
      </c>
      <c r="M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8">
        <f>IF(OR(H144="",I144=""),"",INDEX(Matriz!$C$5:$E$7,H144,I144))</f>
        <v/>
      </c>
      <c r="K144" s="12" t="n"/>
      <c r="L144" s="18">
        <f>IF(OR(K144="",G144=""),"",IF(K144=G144,"Sim","Não"))</f>
        <v/>
      </c>
      <c r="M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8">
        <f>IF(OR(H145="",I145=""),"",INDEX(Matriz!$C$5:$E$7,H145,I145))</f>
        <v/>
      </c>
      <c r="K145" s="12" t="n"/>
      <c r="L145" s="18">
        <f>IF(OR(K145="",G145=""),"",IF(K145=G145,"Sim","Não"))</f>
        <v/>
      </c>
      <c r="M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8">
        <f>IF(OR(H146="",I146=""),"",INDEX(Matriz!$C$5:$E$7,H146,I146))</f>
        <v/>
      </c>
      <c r="K146" s="12" t="n"/>
      <c r="L146" s="18">
        <f>IF(OR(K146="",G146=""),"",IF(K146=G146,"Sim","Não"))</f>
        <v/>
      </c>
      <c r="M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8">
        <f>IF(OR(H147="",I147=""),"",INDEX(Matriz!$C$5:$E$7,H147,I147))</f>
        <v/>
      </c>
      <c r="K147" s="12" t="n"/>
      <c r="L147" s="18">
        <f>IF(OR(K147="",G147=""),"",IF(K147=G147,"Sim","Não"))</f>
        <v/>
      </c>
      <c r="M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8">
        <f>IF(OR(H148="",I148=""),"",INDEX(Matriz!$C$5:$E$7,H148,I148))</f>
        <v/>
      </c>
      <c r="K148" s="12" t="n"/>
      <c r="L148" s="18">
        <f>IF(OR(K148="",G148=""),"",IF(K148=G148,"Sim","Não"))</f>
        <v/>
      </c>
      <c r="M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8">
        <f>IF(OR(H149="",I149=""),"",INDEX(Matriz!$C$5:$E$7,H149,I149))</f>
        <v/>
      </c>
      <c r="K149" s="12" t="n"/>
      <c r="L149" s="18">
        <f>IF(OR(K149="",G149=""),"",IF(K149=G149,"Sim","Não"))</f>
        <v/>
      </c>
      <c r="M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8">
        <f>IF(OR(H150="",I150=""),"",INDEX(Matriz!$C$5:$E$7,H150,I150))</f>
        <v/>
      </c>
      <c r="K150" s="12" t="n"/>
      <c r="L150" s="18">
        <f>IF(OR(K150="",G150=""),"",IF(K150=G150,"Sim","Não"))</f>
        <v/>
      </c>
      <c r="M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8">
        <f>IF(OR(H151="",I151=""),"",INDEX(Matriz!$C$5:$E$7,H151,I151))</f>
        <v/>
      </c>
      <c r="K151" s="12" t="n"/>
      <c r="L151" s="18">
        <f>IF(OR(K151="",G151=""),"",IF(K151=G151,"Sim","Não"))</f>
        <v/>
      </c>
      <c r="M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8">
        <f>IF(OR(H152="",I152=""),"",INDEX(Matriz!$C$5:$E$7,H152,I152))</f>
        <v/>
      </c>
      <c r="K152" s="12" t="n"/>
      <c r="L152" s="18">
        <f>IF(OR(K152="",G152=""),"",IF(K152=G152,"Sim","Não"))</f>
        <v/>
      </c>
      <c r="M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8">
        <f>IF(OR(H153="",I153=""),"",INDEX(Matriz!$C$5:$E$7,H153,I153))</f>
        <v/>
      </c>
      <c r="K153" s="12" t="n"/>
      <c r="L153" s="18">
        <f>IF(OR(K153="",G153=""),"",IF(K153=G153,"Sim","Não"))</f>
        <v/>
      </c>
      <c r="M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8">
        <f>IF(OR(H154="",I154=""),"",INDEX(Matriz!$C$5:$E$7,H154,I154))</f>
        <v/>
      </c>
      <c r="K154" s="12" t="n"/>
      <c r="L154" s="18">
        <f>IF(OR(K154="",G154=""),"",IF(K154=G154,"Sim","Não"))</f>
        <v/>
      </c>
      <c r="M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8">
        <f>IF(OR(H155="",I155=""),"",INDEX(Matriz!$C$5:$E$7,H155,I155))</f>
        <v/>
      </c>
      <c r="K155" s="12" t="n"/>
      <c r="L155" s="18">
        <f>IF(OR(K155="",G155=""),"",IF(K155=G155,"Sim","Não"))</f>
        <v/>
      </c>
      <c r="M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8">
        <f>IF(OR(H156="",I156=""),"",INDEX(Matriz!$C$5:$E$7,H156,I156))</f>
        <v/>
      </c>
      <c r="K156" s="12" t="n"/>
      <c r="L156" s="18">
        <f>IF(OR(K156="",G156=""),"",IF(K156=G156,"Sim","Não"))</f>
        <v/>
      </c>
      <c r="M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8">
        <f>IF(OR(H157="",I157=""),"",INDEX(Matriz!$C$5:$E$7,H157,I157))</f>
        <v/>
      </c>
      <c r="K157" s="12" t="n"/>
      <c r="L157" s="18">
        <f>IF(OR(K157="",G157=""),"",IF(K157=G157,"Sim","Não"))</f>
        <v/>
      </c>
      <c r="M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8">
        <f>IF(OR(H158="",I158=""),"",INDEX(Matriz!$C$5:$E$7,H158,I158))</f>
        <v/>
      </c>
      <c r="K158" s="12" t="n"/>
      <c r="L158" s="18">
        <f>IF(OR(K158="",G158=""),"",IF(K158=G158,"Sim","Não"))</f>
        <v/>
      </c>
      <c r="M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8">
        <f>IF(OR(H159="",I159=""),"",INDEX(Matriz!$C$5:$E$7,H159,I159))</f>
        <v/>
      </c>
      <c r="K159" s="12" t="n"/>
      <c r="L159" s="18">
        <f>IF(OR(K159="",G159=""),"",IF(K159=G159,"Sim","Não"))</f>
        <v/>
      </c>
      <c r="M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8">
        <f>IF(OR(H160="",I160=""),"",INDEX(Matriz!$C$5:$E$7,H160,I160))</f>
        <v/>
      </c>
      <c r="K160" s="12" t="n"/>
      <c r="L160" s="18">
        <f>IF(OR(K160="",G160=""),"",IF(K160=G160,"Sim","Não"))</f>
        <v/>
      </c>
      <c r="M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8">
        <f>IF(OR(H161="",I161=""),"",INDEX(Matriz!$C$5:$E$7,H161,I161))</f>
        <v/>
      </c>
      <c r="K161" s="12" t="n"/>
      <c r="L161" s="18">
        <f>IF(OR(K161="",G161=""),"",IF(K161=G161,"Sim","Não"))</f>
        <v/>
      </c>
      <c r="M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8">
        <f>IF(OR(H162="",I162=""),"",INDEX(Matriz!$C$5:$E$7,H162,I162))</f>
        <v/>
      </c>
      <c r="K162" s="12" t="n"/>
      <c r="L162" s="18">
        <f>IF(OR(K162="",G162=""),"",IF(K162=G162,"Sim","Não"))</f>
        <v/>
      </c>
      <c r="M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8">
        <f>IF(OR(H163="",I163=""),"",INDEX(Matriz!$C$5:$E$7,H163,I163))</f>
        <v/>
      </c>
      <c r="K163" s="12" t="n"/>
      <c r="L163" s="18">
        <f>IF(OR(K163="",G163=""),"",IF(K163=G163,"Sim","Não"))</f>
        <v/>
      </c>
      <c r="M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8">
        <f>IF(OR(H164="",I164=""),"",INDEX(Matriz!$C$5:$E$7,H164,I164))</f>
        <v/>
      </c>
      <c r="K164" s="12" t="n"/>
      <c r="L164" s="18">
        <f>IF(OR(K164="",G164=""),"",IF(K164=G164,"Sim","Não"))</f>
        <v/>
      </c>
      <c r="M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8">
        <f>IF(OR(H165="",I165=""),"",INDEX(Matriz!$C$5:$E$7,H165,I165))</f>
        <v/>
      </c>
      <c r="K165" s="12" t="n"/>
      <c r="L165" s="18">
        <f>IF(OR(K165="",G165=""),"",IF(K165=G165,"Sim","Não"))</f>
        <v/>
      </c>
      <c r="M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8">
        <f>IF(OR(H166="",I166=""),"",INDEX(Matriz!$C$5:$E$7,H166,I166))</f>
        <v/>
      </c>
      <c r="K166" s="12" t="n"/>
      <c r="L166" s="18">
        <f>IF(OR(K166="",G166=""),"",IF(K166=G166,"Sim","Não"))</f>
        <v/>
      </c>
      <c r="M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8">
        <f>IF(OR(H167="",I167=""),"",INDEX(Matriz!$C$5:$E$7,H167,I167))</f>
        <v/>
      </c>
      <c r="K167" s="12" t="n"/>
      <c r="L167" s="18">
        <f>IF(OR(K167="",G167=""),"",IF(K167=G167,"Sim","Não"))</f>
        <v/>
      </c>
      <c r="M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8">
        <f>IF(OR(H168="",I168=""),"",INDEX(Matriz!$C$5:$E$7,H168,I168))</f>
        <v/>
      </c>
      <c r="K168" s="12" t="n"/>
      <c r="L168" s="18">
        <f>IF(OR(K168="",G168=""),"",IF(K168=G168,"Sim","Não"))</f>
        <v/>
      </c>
      <c r="M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8">
        <f>IF(OR(H169="",I169=""),"",INDEX(Matriz!$C$5:$E$7,H169,I169))</f>
        <v/>
      </c>
      <c r="K169" s="12" t="n"/>
      <c r="L169" s="18">
        <f>IF(OR(K169="",G169=""),"",IF(K169=G169,"Sim","Não"))</f>
        <v/>
      </c>
      <c r="M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8">
        <f>IF(OR(H170="",I170=""),"",INDEX(Matriz!$C$5:$E$7,H170,I170))</f>
        <v/>
      </c>
      <c r="K170" s="12" t="n"/>
      <c r="L170" s="18">
        <f>IF(OR(K170="",G170=""),"",IF(K170=G170,"Sim","Não"))</f>
        <v/>
      </c>
      <c r="M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8">
        <f>IF(OR(H171="",I171=""),"",INDEX(Matriz!$C$5:$E$7,H171,I171))</f>
        <v/>
      </c>
      <c r="K171" s="12" t="n"/>
      <c r="L171" s="18">
        <f>IF(OR(K171="",G171=""),"",IF(K171=G171,"Sim","Não"))</f>
        <v/>
      </c>
      <c r="M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8">
        <f>IF(OR(H172="",I172=""),"",INDEX(Matriz!$C$5:$E$7,H172,I172))</f>
        <v/>
      </c>
      <c r="K172" s="12" t="n"/>
      <c r="L172" s="18">
        <f>IF(OR(K172="",G172=""),"",IF(K172=G172,"Sim","Não"))</f>
        <v/>
      </c>
      <c r="M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8">
        <f>IF(OR(H173="",I173=""),"",INDEX(Matriz!$C$5:$E$7,H173,I173))</f>
        <v/>
      </c>
      <c r="K173" s="12" t="n"/>
      <c r="L173" s="18">
        <f>IF(OR(K173="",G173=""),"",IF(K173=G173,"Sim","Não"))</f>
        <v/>
      </c>
      <c r="M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8">
        <f>IF(OR(H174="",I174=""),"",INDEX(Matriz!$C$5:$E$7,H174,I174))</f>
        <v/>
      </c>
      <c r="K174" s="12" t="n"/>
      <c r="L174" s="18">
        <f>IF(OR(K174="",G174=""),"",IF(K174=G174,"Sim","Não"))</f>
        <v/>
      </c>
      <c r="M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8">
        <f>IF(OR(H175="",I175=""),"",INDEX(Matriz!$C$5:$E$7,H175,I175))</f>
        <v/>
      </c>
      <c r="K175" s="12" t="n"/>
      <c r="L175" s="18">
        <f>IF(OR(K175="",G175=""),"",IF(K175=G175,"Sim","Não"))</f>
        <v/>
      </c>
      <c r="M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8">
        <f>IF(OR(H176="",I176=""),"",INDEX(Matriz!$C$5:$E$7,H176,I176))</f>
        <v/>
      </c>
      <c r="K176" s="12" t="n"/>
      <c r="L176" s="18">
        <f>IF(OR(K176="",G176=""),"",IF(K176=G176,"Sim","Não"))</f>
        <v/>
      </c>
      <c r="M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8">
        <f>IF(OR(H177="",I177=""),"",INDEX(Matriz!$C$5:$E$7,H177,I177))</f>
        <v/>
      </c>
      <c r="K177" s="12" t="n"/>
      <c r="L177" s="18">
        <f>IF(OR(K177="",G177=""),"",IF(K177=G177,"Sim","Não"))</f>
        <v/>
      </c>
      <c r="M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8">
        <f>IF(OR(H178="",I178=""),"",INDEX(Matriz!$C$5:$E$7,H178,I178))</f>
        <v/>
      </c>
      <c r="K178" s="12" t="n"/>
      <c r="L178" s="18">
        <f>IF(OR(K178="",G178=""),"",IF(K178=G178,"Sim","Não"))</f>
        <v/>
      </c>
      <c r="M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8">
        <f>IF(OR(H179="",I179=""),"",INDEX(Matriz!$C$5:$E$7,H179,I179))</f>
        <v/>
      </c>
      <c r="K179" s="12" t="n"/>
      <c r="L179" s="18">
        <f>IF(OR(K179="",G179=""),"",IF(K179=G179,"Sim","Não"))</f>
        <v/>
      </c>
      <c r="M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8">
        <f>IF(OR(H180="",I180=""),"",INDEX(Matriz!$C$5:$E$7,H180,I180))</f>
        <v/>
      </c>
      <c r="K180" s="12" t="n"/>
      <c r="L180" s="18">
        <f>IF(OR(K180="",G180=""),"",IF(K180=G180,"Sim","Não"))</f>
        <v/>
      </c>
      <c r="M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8">
        <f>IF(OR(H181="",I181=""),"",INDEX(Matriz!$C$5:$E$7,H181,I181))</f>
        <v/>
      </c>
      <c r="K181" s="12" t="n"/>
      <c r="L181" s="18">
        <f>IF(OR(K181="",G181=""),"",IF(K181=G181,"Sim","Não"))</f>
        <v/>
      </c>
      <c r="M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8">
        <f>IF(OR(H182="",I182=""),"",INDEX(Matriz!$C$5:$E$7,H182,I182))</f>
        <v/>
      </c>
      <c r="K182" s="12" t="n"/>
      <c r="L182" s="18">
        <f>IF(OR(K182="",G182=""),"",IF(K182=G182,"Sim","Não"))</f>
        <v/>
      </c>
      <c r="M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8">
        <f>IF(OR(H183="",I183=""),"",INDEX(Matriz!$C$5:$E$7,H183,I183))</f>
        <v/>
      </c>
      <c r="K183" s="12" t="n"/>
      <c r="L183" s="18">
        <f>IF(OR(K183="",G183=""),"",IF(K183=G183,"Sim","Não"))</f>
        <v/>
      </c>
      <c r="M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8">
        <f>IF(OR(H184="",I184=""),"",INDEX(Matriz!$C$5:$E$7,H184,I184))</f>
        <v/>
      </c>
      <c r="K184" s="12" t="n"/>
      <c r="L184" s="18">
        <f>IF(OR(K184="",G184=""),"",IF(K184=G184,"Sim","Não"))</f>
        <v/>
      </c>
      <c r="M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8">
        <f>IF(OR(H185="",I185=""),"",INDEX(Matriz!$C$5:$E$7,H185,I185))</f>
        <v/>
      </c>
      <c r="K185" s="12" t="n"/>
      <c r="L185" s="18">
        <f>IF(OR(K185="",G185=""),"",IF(K185=G185,"Sim","Não"))</f>
        <v/>
      </c>
      <c r="M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8">
        <f>IF(OR(H186="",I186=""),"",INDEX(Matriz!$C$5:$E$7,H186,I186))</f>
        <v/>
      </c>
      <c r="K186" s="12" t="n"/>
      <c r="L186" s="18">
        <f>IF(OR(K186="",G186=""),"",IF(K186=G186,"Sim","Não"))</f>
        <v/>
      </c>
      <c r="M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8">
        <f>IF(OR(H187="",I187=""),"",INDEX(Matriz!$C$5:$E$7,H187,I187))</f>
        <v/>
      </c>
      <c r="K187" s="12" t="n"/>
      <c r="L187" s="18">
        <f>IF(OR(K187="",G187=""),"",IF(K187=G187,"Sim","Não"))</f>
        <v/>
      </c>
      <c r="M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8">
        <f>IF(OR(H188="",I188=""),"",INDEX(Matriz!$C$5:$E$7,H188,I188))</f>
        <v/>
      </c>
      <c r="K188" s="12" t="n"/>
      <c r="L188" s="18">
        <f>IF(OR(K188="",G188=""),"",IF(K188=G188,"Sim","Não"))</f>
        <v/>
      </c>
      <c r="M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8">
        <f>IF(OR(H189="",I189=""),"",INDEX(Matriz!$C$5:$E$7,H189,I189))</f>
        <v/>
      </c>
      <c r="K189" s="12" t="n"/>
      <c r="L189" s="18">
        <f>IF(OR(K189="",G189=""),"",IF(K189=G189,"Sim","Não"))</f>
        <v/>
      </c>
      <c r="M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8">
        <f>IF(OR(H190="",I190=""),"",INDEX(Matriz!$C$5:$E$7,H190,I190))</f>
        <v/>
      </c>
      <c r="K190" s="12" t="n"/>
      <c r="L190" s="18">
        <f>IF(OR(K190="",G190=""),"",IF(K190=G190,"Sim","Não"))</f>
        <v/>
      </c>
      <c r="M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8">
        <f>IF(OR(H191="",I191=""),"",INDEX(Matriz!$C$5:$E$7,H191,I191))</f>
        <v/>
      </c>
      <c r="K191" s="12" t="n"/>
      <c r="L191" s="18">
        <f>IF(OR(K191="",G191=""),"",IF(K191=G191,"Sim","Não"))</f>
        <v/>
      </c>
      <c r="M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8">
        <f>IF(OR(H192="",I192=""),"",INDEX(Matriz!$C$5:$E$7,H192,I192))</f>
        <v/>
      </c>
      <c r="K192" s="12" t="n"/>
      <c r="L192" s="18">
        <f>IF(OR(K192="",G192=""),"",IF(K192=G192,"Sim","Não"))</f>
        <v/>
      </c>
      <c r="M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8">
        <f>IF(OR(H193="",I193=""),"",INDEX(Matriz!$C$5:$E$7,H193,I193))</f>
        <v/>
      </c>
      <c r="K193" s="12" t="n"/>
      <c r="L193" s="18">
        <f>IF(OR(K193="",G193=""),"",IF(K193=G193,"Sim","Não"))</f>
        <v/>
      </c>
      <c r="M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8">
        <f>IF(OR(H194="",I194=""),"",INDEX(Matriz!$C$5:$E$7,H194,I194))</f>
        <v/>
      </c>
      <c r="K194" s="12" t="n"/>
      <c r="L194" s="18">
        <f>IF(OR(K194="",G194=""),"",IF(K194=G194,"Sim","Não"))</f>
        <v/>
      </c>
      <c r="M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8">
        <f>IF(OR(H195="",I195=""),"",INDEX(Matriz!$C$5:$E$7,H195,I195))</f>
        <v/>
      </c>
      <c r="K195" s="12" t="n"/>
      <c r="L195" s="18">
        <f>IF(OR(K195="",G195=""),"",IF(K195=G195,"Sim","Não"))</f>
        <v/>
      </c>
      <c r="M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8">
        <f>IF(OR(H196="",I196=""),"",INDEX(Matriz!$C$5:$E$7,H196,I196))</f>
        <v/>
      </c>
      <c r="K196" s="12" t="n"/>
      <c r="L196" s="18">
        <f>IF(OR(K196="",G196=""),"",IF(K196=G196,"Sim","Não"))</f>
        <v/>
      </c>
      <c r="M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8">
        <f>IF(OR(H197="",I197=""),"",INDEX(Matriz!$C$5:$E$7,H197,I197))</f>
        <v/>
      </c>
      <c r="K197" s="12" t="n"/>
      <c r="L197" s="18">
        <f>IF(OR(K197="",G197=""),"",IF(K197=G197,"Sim","Não"))</f>
        <v/>
      </c>
      <c r="M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8">
        <f>IF(OR(H198="",I198=""),"",INDEX(Matriz!$C$5:$E$7,H198,I198))</f>
        <v/>
      </c>
      <c r="K198" s="12" t="n"/>
      <c r="L198" s="18">
        <f>IF(OR(K198="",G198=""),"",IF(K198=G198,"Sim","Não"))</f>
        <v/>
      </c>
      <c r="M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8">
        <f>IF(OR(H199="",I199=""),"",INDEX(Matriz!$C$5:$E$7,H199,I199))</f>
        <v/>
      </c>
      <c r="K199" s="12" t="n"/>
      <c r="L199" s="18">
        <f>IF(OR(K199="",G199=""),"",IF(K199=G199,"Sim","Não"))</f>
        <v/>
      </c>
      <c r="M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8">
        <f>IF(OR(H200="",I200=""),"",INDEX(Matriz!$C$5:$E$7,H200,I200))</f>
        <v/>
      </c>
      <c r="K200" s="12" t="n"/>
      <c r="L200" s="18">
        <f>IF(OR(K200="",G200=""),"",IF(K200=G200,"Sim","Não"))</f>
        <v/>
      </c>
      <c r="M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8">
        <f>IF(OR(H201="",I201=""),"",INDEX(Matriz!$C$5:$E$7,H201,I201))</f>
        <v/>
      </c>
      <c r="K201" s="12" t="n"/>
      <c r="L201" s="18">
        <f>IF(OR(K201="",G201=""),"",IF(K201=G201,"Sim","Não"))</f>
        <v/>
      </c>
      <c r="M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8">
        <f>IF(OR(H202="",I202=""),"",INDEX(Matriz!$C$5:$E$7,H202,I202))</f>
        <v/>
      </c>
      <c r="K202" s="12" t="n"/>
      <c r="L202" s="18">
        <f>IF(OR(K202="",G202=""),"",IF(K202=G202,"Sim","Não"))</f>
        <v/>
      </c>
      <c r="M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8">
        <f>IF(OR(H203="",I203=""),"",INDEX(Matriz!$C$5:$E$7,H203,I203))</f>
        <v/>
      </c>
      <c r="K203" s="12" t="n"/>
      <c r="L203" s="18">
        <f>IF(OR(K203="",G203=""),"",IF(K203=G203,"Sim","Não"))</f>
        <v/>
      </c>
      <c r="M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8">
        <f>IF(OR(H204="",I204=""),"",INDEX(Matriz!$C$5:$E$7,H204,I204))</f>
        <v/>
      </c>
      <c r="K204" s="12" t="n"/>
      <c r="L204" s="18">
        <f>IF(OR(K204="",G204=""),"",IF(K204=G204,"Sim","Não"))</f>
        <v/>
      </c>
      <c r="M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8">
        <f>IF(OR(H205="",I205=""),"",INDEX(Matriz!$C$5:$E$7,H205,I205))</f>
        <v/>
      </c>
      <c r="K205" s="12" t="n"/>
      <c r="L205" s="18">
        <f>IF(OR(K205="",G205=""),"",IF(K205=G205,"Sim","Não"))</f>
        <v/>
      </c>
      <c r="M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8">
        <f>IF(OR(H206="",I206=""),"",INDEX(Matriz!$C$5:$E$7,H206,I206))</f>
        <v/>
      </c>
      <c r="K206" s="12" t="n"/>
      <c r="L206" s="18">
        <f>IF(OR(K206="",G206=""),"",IF(K206=G206,"Sim","Não"))</f>
        <v/>
      </c>
      <c r="M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8">
        <f>IF(OR(H207="",I207=""),"",INDEX(Matriz!$C$5:$E$7,H207,I207))</f>
        <v/>
      </c>
      <c r="K207" s="12" t="n"/>
      <c r="L207" s="18">
        <f>IF(OR(K207="",G207=""),"",IF(K207=G207,"Sim","Não"))</f>
        <v/>
      </c>
      <c r="M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8">
        <f>IF(OR(H208="",I208=""),"",INDEX(Matriz!$C$5:$E$7,H208,I208))</f>
        <v/>
      </c>
      <c r="K208" s="12" t="n"/>
      <c r="L208" s="18">
        <f>IF(OR(K208="",G208=""),"",IF(K208=G208,"Sim","Não"))</f>
        <v/>
      </c>
      <c r="M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8">
        <f>IF(OR(H209="",I209=""),"",INDEX(Matriz!$C$5:$E$7,H209,I209))</f>
        <v/>
      </c>
      <c r="K209" s="12" t="n"/>
      <c r="L209" s="18">
        <f>IF(OR(K209="",G209=""),"",IF(K209=G209,"Sim","Não"))</f>
        <v/>
      </c>
      <c r="M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8">
        <f>IF(OR(H210="",I210=""),"",INDEX(Matriz!$C$5:$E$7,H210,I210))</f>
        <v/>
      </c>
      <c r="K210" s="12" t="n"/>
      <c r="L210" s="18">
        <f>IF(OR(K210="",G210=""),"",IF(K210=G210,"Sim","Não"))</f>
        <v/>
      </c>
      <c r="M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8">
        <f>IF(OR(H211="",I211=""),"",INDEX(Matriz!$C$5:$E$7,H211,I211))</f>
        <v/>
      </c>
      <c r="K211" s="12" t="n"/>
      <c r="L211" s="18">
        <f>IF(OR(K211="",G211=""),"",IF(K211=G211,"Sim","Não"))</f>
        <v/>
      </c>
      <c r="M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8">
        <f>IF(OR(H212="",I212=""),"",INDEX(Matriz!$C$5:$E$7,H212,I212))</f>
        <v/>
      </c>
      <c r="K212" s="12" t="n"/>
      <c r="L212" s="18">
        <f>IF(OR(K212="",G212=""),"",IF(K212=G212,"Sim","Não"))</f>
        <v/>
      </c>
      <c r="M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8">
        <f>IF(OR(H213="",I213=""),"",INDEX(Matriz!$C$5:$E$7,H213,I213))</f>
        <v/>
      </c>
      <c r="K213" s="12" t="n"/>
      <c r="L213" s="18">
        <f>IF(OR(K213="",G213=""),"",IF(K213=G213,"Sim","Não"))</f>
        <v/>
      </c>
      <c r="M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8">
        <f>IF(OR(H214="",I214=""),"",INDEX(Matriz!$C$5:$E$7,H214,I214))</f>
        <v/>
      </c>
      <c r="K214" s="12" t="n"/>
      <c r="L214" s="18">
        <f>IF(OR(K214="",G214=""),"",IF(K214=G214,"Sim","Não"))</f>
        <v/>
      </c>
      <c r="M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8">
        <f>IF(OR(H215="",I215=""),"",INDEX(Matriz!$C$5:$E$7,H215,I215))</f>
        <v/>
      </c>
      <c r="K215" s="12" t="n"/>
      <c r="L215" s="18">
        <f>IF(OR(K215="",G215=""),"",IF(K215=G215,"Sim","Não"))</f>
        <v/>
      </c>
      <c r="M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8">
        <f>IF(OR(H216="",I216=""),"",INDEX(Matriz!$C$5:$E$7,H216,I216))</f>
        <v/>
      </c>
      <c r="K216" s="12" t="n"/>
      <c r="L216" s="18">
        <f>IF(OR(K216="",G216=""),"",IF(K216=G216,"Sim","Não"))</f>
        <v/>
      </c>
      <c r="M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8">
        <f>IF(OR(H217="",I217=""),"",INDEX(Matriz!$C$5:$E$7,H217,I217))</f>
        <v/>
      </c>
      <c r="K217" s="12" t="n"/>
      <c r="L217" s="18">
        <f>IF(OR(K217="",G217=""),"",IF(K217=G217,"Sim","Não"))</f>
        <v/>
      </c>
      <c r="M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8">
        <f>IF(OR(H218="",I218=""),"",INDEX(Matriz!$C$5:$E$7,H218,I218))</f>
        <v/>
      </c>
      <c r="K218" s="12" t="n"/>
      <c r="L218" s="18">
        <f>IF(OR(K218="",G218=""),"",IF(K218=G218,"Sim","Não"))</f>
        <v/>
      </c>
      <c r="M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8">
        <f>IF(OR(H219="",I219=""),"",INDEX(Matriz!$C$5:$E$7,H219,I219))</f>
        <v/>
      </c>
      <c r="K219" s="12" t="n"/>
      <c r="L219" s="18">
        <f>IF(OR(K219="",G219=""),"",IF(K219=G219,"Sim","Não"))</f>
        <v/>
      </c>
      <c r="M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8">
        <f>IF(OR(H220="",I220=""),"",INDEX(Matriz!$C$5:$E$7,H220,I220))</f>
        <v/>
      </c>
      <c r="K220" s="12" t="n"/>
      <c r="L220" s="18">
        <f>IF(OR(K220="",G220=""),"",IF(K220=G220,"Sim","Não"))</f>
        <v/>
      </c>
      <c r="M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8">
        <f>IF(OR(H221="",I221=""),"",INDEX(Matriz!$C$5:$E$7,H221,I221))</f>
        <v/>
      </c>
      <c r="K221" s="12" t="n"/>
      <c r="L221" s="18">
        <f>IF(OR(K221="",G221=""),"",IF(K221=G221,"Sim","Não"))</f>
        <v/>
      </c>
      <c r="M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8">
        <f>IF(OR(H222="",I222=""),"",INDEX(Matriz!$C$5:$E$7,H222,I222))</f>
        <v/>
      </c>
      <c r="K222" s="12" t="n"/>
      <c r="L222" s="18">
        <f>IF(OR(K222="",G222=""),"",IF(K222=G222,"Sim","Não"))</f>
        <v/>
      </c>
      <c r="M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8">
        <f>IF(OR(H223="",I223=""),"",INDEX(Matriz!$C$5:$E$7,H223,I223))</f>
        <v/>
      </c>
      <c r="K223" s="12" t="n"/>
      <c r="L223" s="18">
        <f>IF(OR(K223="",G223=""),"",IF(K223=G223,"Sim","Não"))</f>
        <v/>
      </c>
      <c r="M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8">
        <f>IF(OR(H224="",I224=""),"",INDEX(Matriz!$C$5:$E$7,H224,I224))</f>
        <v/>
      </c>
      <c r="K224" s="12" t="n"/>
      <c r="L224" s="18">
        <f>IF(OR(K224="",G224=""),"",IF(K224=G224,"Sim","Não"))</f>
        <v/>
      </c>
      <c r="M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8">
        <f>IF(OR(H225="",I225=""),"",INDEX(Matriz!$C$5:$E$7,H225,I225))</f>
        <v/>
      </c>
      <c r="K225" s="12" t="n"/>
      <c r="L225" s="18">
        <f>IF(OR(K225="",G225=""),"",IF(K225=G225,"Sim","Não"))</f>
        <v/>
      </c>
      <c r="M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8">
        <f>IF(OR(H226="",I226=""),"",INDEX(Matriz!$C$5:$E$7,H226,I226))</f>
        <v/>
      </c>
      <c r="K226" s="12" t="n"/>
      <c r="L226" s="18">
        <f>IF(OR(K226="",G226=""),"",IF(K226=G226,"Sim","Não"))</f>
        <v/>
      </c>
      <c r="M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8">
        <f>IF(OR(H227="",I227=""),"",INDEX(Matriz!$C$5:$E$7,H227,I227))</f>
        <v/>
      </c>
      <c r="K227" s="12" t="n"/>
      <c r="L227" s="18">
        <f>IF(OR(K227="",G227=""),"",IF(K227=G227,"Sim","Não"))</f>
        <v/>
      </c>
      <c r="M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8">
        <f>IF(OR(H228="",I228=""),"",INDEX(Matriz!$C$5:$E$7,H228,I228))</f>
        <v/>
      </c>
      <c r="K228" s="12" t="n"/>
      <c r="L228" s="18">
        <f>IF(OR(K228="",G228=""),"",IF(K228=G228,"Sim","Não"))</f>
        <v/>
      </c>
      <c r="M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8">
        <f>IF(OR(H229="",I229=""),"",INDEX(Matriz!$C$5:$E$7,H229,I229))</f>
        <v/>
      </c>
      <c r="K229" s="12" t="n"/>
      <c r="L229" s="18">
        <f>IF(OR(K229="",G229=""),"",IF(K229=G229,"Sim","Não"))</f>
        <v/>
      </c>
      <c r="M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8">
        <f>IF(OR(H230="",I230=""),"",INDEX(Matriz!$C$5:$E$7,H230,I230))</f>
        <v/>
      </c>
      <c r="K230" s="12" t="n"/>
      <c r="L230" s="18">
        <f>IF(OR(K230="",G230=""),"",IF(K230=G230,"Sim","Não"))</f>
        <v/>
      </c>
      <c r="M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8">
        <f>IF(OR(H231="",I231=""),"",INDEX(Matriz!$C$5:$E$7,H231,I231))</f>
        <v/>
      </c>
      <c r="K231" s="12" t="n"/>
      <c r="L231" s="18">
        <f>IF(OR(K231="",G231=""),"",IF(K231=G231,"Sim","Não"))</f>
        <v/>
      </c>
      <c r="M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8">
        <f>IF(OR(H232="",I232=""),"",INDEX(Matriz!$C$5:$E$7,H232,I232))</f>
        <v/>
      </c>
      <c r="K232" s="12" t="n"/>
      <c r="L232" s="18">
        <f>IF(OR(K232="",G232=""),"",IF(K232=G232,"Sim","Não"))</f>
        <v/>
      </c>
      <c r="M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8">
        <f>IF(OR(H233="",I233=""),"",INDEX(Matriz!$C$5:$E$7,H233,I233))</f>
        <v/>
      </c>
      <c r="K233" s="12" t="n"/>
      <c r="L233" s="18">
        <f>IF(OR(K233="",G233=""),"",IF(K233=G233,"Sim","Não"))</f>
        <v/>
      </c>
      <c r="M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8">
        <f>IF(OR(H234="",I234=""),"",INDEX(Matriz!$C$5:$E$7,H234,I234))</f>
        <v/>
      </c>
      <c r="K234" s="12" t="n"/>
      <c r="L234" s="18">
        <f>IF(OR(K234="",G234=""),"",IF(K234=G234,"Sim","Não"))</f>
        <v/>
      </c>
      <c r="M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8">
        <f>IF(OR(H235="",I235=""),"",INDEX(Matriz!$C$5:$E$7,H235,I235))</f>
        <v/>
      </c>
      <c r="K235" s="12" t="n"/>
      <c r="L235" s="18">
        <f>IF(OR(K235="",G235=""),"",IF(K235=G235,"Sim","Não"))</f>
        <v/>
      </c>
      <c r="M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8">
        <f>IF(OR(H236="",I236=""),"",INDEX(Matriz!$C$5:$E$7,H236,I236))</f>
        <v/>
      </c>
      <c r="K236" s="12" t="n"/>
      <c r="L236" s="18">
        <f>IF(OR(K236="",G236=""),"",IF(K236=G236,"Sim","Não"))</f>
        <v/>
      </c>
      <c r="M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8">
        <f>IF(OR(H237="",I237=""),"",INDEX(Matriz!$C$5:$E$7,H237,I237))</f>
        <v/>
      </c>
      <c r="K237" s="12" t="n"/>
      <c r="L237" s="18">
        <f>IF(OR(K237="",G237=""),"",IF(K237=G237,"Sim","Não"))</f>
        <v/>
      </c>
      <c r="M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8">
        <f>IF(OR(H238="",I238=""),"",INDEX(Matriz!$C$5:$E$7,H238,I238))</f>
        <v/>
      </c>
      <c r="K238" s="12" t="n"/>
      <c r="L238" s="18">
        <f>IF(OR(K238="",G238=""),"",IF(K238=G238,"Sim","Não"))</f>
        <v/>
      </c>
      <c r="M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8">
        <f>IF(OR(H239="",I239=""),"",INDEX(Matriz!$C$5:$E$7,H239,I239))</f>
        <v/>
      </c>
      <c r="K239" s="12" t="n"/>
      <c r="L239" s="18">
        <f>IF(OR(K239="",G239=""),"",IF(K239=G239,"Sim","Não"))</f>
        <v/>
      </c>
      <c r="M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8">
        <f>IF(OR(H240="",I240=""),"",INDEX(Matriz!$C$5:$E$7,H240,I240))</f>
        <v/>
      </c>
      <c r="K240" s="12" t="n"/>
      <c r="L240" s="18">
        <f>IF(OR(K240="",G240=""),"",IF(K240=G240,"Sim","Não"))</f>
        <v/>
      </c>
      <c r="M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8">
        <f>IF(OR(H241="",I241=""),"",INDEX(Matriz!$C$5:$E$7,H241,I241))</f>
        <v/>
      </c>
      <c r="K241" s="12" t="n"/>
      <c r="L241" s="18">
        <f>IF(OR(K241="",G241=""),"",IF(K241=G241,"Sim","Não"))</f>
        <v/>
      </c>
      <c r="M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8">
        <f>IF(OR(H242="",I242=""),"",INDEX(Matriz!$C$5:$E$7,H242,I242))</f>
        <v/>
      </c>
      <c r="K242" s="12" t="n"/>
      <c r="L242" s="18">
        <f>IF(OR(K242="",G242=""),"",IF(K242=G242,"Sim","Não"))</f>
        <v/>
      </c>
      <c r="M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8">
        <f>IF(OR(H243="",I243=""),"",INDEX(Matriz!$C$5:$E$7,H243,I243))</f>
        <v/>
      </c>
      <c r="K243" s="12" t="n"/>
      <c r="L243" s="18">
        <f>IF(OR(K243="",G243=""),"",IF(K243=G243,"Sim","Não"))</f>
        <v/>
      </c>
      <c r="M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8">
        <f>IF(OR(H244="",I244=""),"",INDEX(Matriz!$C$5:$E$7,H244,I244))</f>
        <v/>
      </c>
      <c r="K244" s="12" t="n"/>
      <c r="L244" s="18">
        <f>IF(OR(K244="",G244=""),"",IF(K244=G244,"Sim","Não"))</f>
        <v/>
      </c>
      <c r="M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8">
        <f>IF(OR(H245="",I245=""),"",INDEX(Matriz!$C$5:$E$7,H245,I245))</f>
        <v/>
      </c>
      <c r="K245" s="12" t="n"/>
      <c r="L245" s="18">
        <f>IF(OR(K245="",G245=""),"",IF(K245=G245,"Sim","Não"))</f>
        <v/>
      </c>
      <c r="M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8">
        <f>IF(OR(H246="",I246=""),"",INDEX(Matriz!$C$5:$E$7,H246,I246))</f>
        <v/>
      </c>
      <c r="K246" s="12" t="n"/>
      <c r="L246" s="18">
        <f>IF(OR(K246="",G246=""),"",IF(K246=G246,"Sim","Não"))</f>
        <v/>
      </c>
      <c r="M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8">
        <f>IF(OR(H247="",I247=""),"",INDEX(Matriz!$C$5:$E$7,H247,I247))</f>
        <v/>
      </c>
      <c r="K247" s="12" t="n"/>
      <c r="L247" s="18">
        <f>IF(OR(K247="",G247=""),"",IF(K247=G247,"Sim","Não"))</f>
        <v/>
      </c>
      <c r="M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8">
        <f>IF(OR(H248="",I248=""),"",INDEX(Matriz!$C$5:$E$7,H248,I248))</f>
        <v/>
      </c>
      <c r="K248" s="12" t="n"/>
      <c r="L248" s="18">
        <f>IF(OR(K248="",G248=""),"",IF(K248=G248,"Sim","Não"))</f>
        <v/>
      </c>
      <c r="M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8">
        <f>IF(OR(H249="",I249=""),"",INDEX(Matriz!$C$5:$E$7,H249,I249))</f>
        <v/>
      </c>
      <c r="K249" s="12" t="n"/>
      <c r="L249" s="18">
        <f>IF(OR(K249="",G249=""),"",IF(K249=G249,"Sim","Não"))</f>
        <v/>
      </c>
      <c r="M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8">
        <f>IF(OR(H250="",I250=""),"",INDEX(Matriz!$C$5:$E$7,H250,I250))</f>
        <v/>
      </c>
      <c r="K250" s="12" t="n"/>
      <c r="L250" s="18">
        <f>IF(OR(K250="",G250=""),"",IF(K250=G250,"Sim","Não"))</f>
        <v/>
      </c>
      <c r="M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8">
        <f>IF(OR(H251="",I251=""),"",INDEX(Matriz!$C$5:$E$7,H251,I251))</f>
        <v/>
      </c>
      <c r="K251" s="12" t="n"/>
      <c r="L251" s="18">
        <f>IF(OR(K251="",G251=""),"",IF(K251=G251,"Sim","Não"))</f>
        <v/>
      </c>
      <c r="M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8">
        <f>IF(OR(H252="",I252=""),"",INDEX(Matriz!$C$5:$E$7,H252,I252))</f>
        <v/>
      </c>
      <c r="K252" s="12" t="n"/>
      <c r="L252" s="18">
        <f>IF(OR(K252="",G252=""),"",IF(K252=G252,"Sim","Não"))</f>
        <v/>
      </c>
      <c r="M252" s="12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8">
        <f>IF(OR(H253="",I253=""),"",INDEX(Matriz!$C$5:$E$7,H253,I253))</f>
        <v/>
      </c>
      <c r="K253" s="12" t="n"/>
      <c r="L253" s="18">
        <f>IF(OR(K253="",G253=""),"",IF(K253=G253,"Sim","Não"))</f>
        <v/>
      </c>
      <c r="M253" s="12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8">
        <f>IF(OR(H254="",I254=""),"",INDEX(Matriz!$C$5:$E$7,H254,I254))</f>
        <v/>
      </c>
      <c r="K254" s="12" t="n"/>
      <c r="L254" s="18">
        <f>IF(OR(K254="",G254=""),"",IF(K254=G254,"Sim","Não"))</f>
        <v/>
      </c>
      <c r="M254" s="12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8">
        <f>IF(OR(H255="",I255=""),"",INDEX(Matriz!$C$5:$E$7,H255,I255))</f>
        <v/>
      </c>
      <c r="K255" s="12" t="n"/>
      <c r="L255" s="18">
        <f>IF(OR(K255="",G255=""),"",IF(K255=G255,"Sim","Não"))</f>
        <v/>
      </c>
      <c r="M255" s="12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8">
        <f>IF(OR(H256="",I256=""),"",INDEX(Matriz!$C$5:$E$7,H256,I256))</f>
        <v/>
      </c>
      <c r="K256" s="12" t="n"/>
      <c r="L256" s="18">
        <f>IF(OR(K256="",G256=""),"",IF(K256=G256,"Sim","Não"))</f>
        <v/>
      </c>
      <c r="M256" s="12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8">
        <f>IF(OR(H257="",I257=""),"",INDEX(Matriz!$C$5:$E$7,H257,I257))</f>
        <v/>
      </c>
      <c r="K257" s="12" t="n"/>
      <c r="L257" s="18">
        <f>IF(OR(K257="",G257=""),"",IF(K257=G257,"Sim","Não"))</f>
        <v/>
      </c>
      <c r="M257" s="12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8">
        <f>IF(OR(H258="",I258=""),"",INDEX(Matriz!$C$5:$E$7,H258,I258))</f>
        <v/>
      </c>
      <c r="K258" s="12" t="n"/>
      <c r="L258" s="18">
        <f>IF(OR(K258="",G258=""),"",IF(K258=G258,"Sim","Não"))</f>
        <v/>
      </c>
      <c r="M258" s="12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8">
        <f>IF(OR(H259="",I259=""),"",INDEX(Matriz!$C$5:$E$7,H259,I259))</f>
        <v/>
      </c>
      <c r="K259" s="12" t="n"/>
      <c r="L259" s="18">
        <f>IF(OR(K259="",G259=""),"",IF(K259=G259,"Sim","Não"))</f>
        <v/>
      </c>
      <c r="M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8">
        <f>IF(OR(H260="",I260=""),"",INDEX(Matriz!$C$5:$E$7,H260,I260))</f>
        <v/>
      </c>
      <c r="K260" s="12" t="n"/>
      <c r="L260" s="18">
        <f>IF(OR(K260="",G260=""),"",IF(K260=G260,"Sim","Não"))</f>
        <v/>
      </c>
      <c r="M260" s="12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8">
        <f>IF(OR(H261="",I261=""),"",INDEX(Matriz!$C$5:$E$7,H261,I261))</f>
        <v/>
      </c>
      <c r="K261" s="12" t="n"/>
      <c r="L261" s="18">
        <f>IF(OR(K261="",G261=""),"",IF(K261=G261,"Sim","Não"))</f>
        <v/>
      </c>
      <c r="M261" s="12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8">
        <f>IF(OR(H262="",I262=""),"",INDEX(Matriz!$C$5:$E$7,H262,I262))</f>
        <v/>
      </c>
      <c r="K262" s="12" t="n"/>
      <c r="L262" s="18">
        <f>IF(OR(K262="",G262=""),"",IF(K262=G262,"Sim","Não"))</f>
        <v/>
      </c>
      <c r="M262" s="12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8">
        <f>IF(OR(H263="",I263=""),"",INDEX(Matriz!$C$5:$E$7,H263,I263))</f>
        <v/>
      </c>
      <c r="K263" s="12" t="n"/>
      <c r="L263" s="18">
        <f>IF(OR(K263="",G263=""),"",IF(K263=G263,"Sim","Não"))</f>
        <v/>
      </c>
      <c r="M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8">
        <f>IF(OR(H264="",I264=""),"",INDEX(Matriz!$C$5:$E$7,H264,I264))</f>
        <v/>
      </c>
      <c r="K264" s="12" t="n"/>
      <c r="L264" s="18">
        <f>IF(OR(K264="",G264=""),"",IF(K264=G264,"Sim","Não"))</f>
        <v/>
      </c>
      <c r="M264" s="12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8">
        <f>IF(OR(H265="",I265=""),"",INDEX(Matriz!$C$5:$E$7,H265,I265))</f>
        <v/>
      </c>
      <c r="K265" s="12" t="n"/>
      <c r="L265" s="18">
        <f>IF(OR(K265="",G265=""),"",IF(K265=G265,"Sim","Não"))</f>
        <v/>
      </c>
      <c r="M265" s="12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8">
        <f>IF(OR(H266="",I266=""),"",INDEX(Matriz!$C$5:$E$7,H266,I266))</f>
        <v/>
      </c>
      <c r="K266" s="12" t="n"/>
      <c r="L266" s="18">
        <f>IF(OR(K266="",G266=""),"",IF(K266=G266,"Sim","Não"))</f>
        <v/>
      </c>
      <c r="M266" s="12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8">
        <f>IF(OR(H267="",I267=""),"",INDEX(Matriz!$C$5:$E$7,H267,I267))</f>
        <v/>
      </c>
      <c r="K267" s="12" t="n"/>
      <c r="L267" s="18">
        <f>IF(OR(K267="",G267=""),"",IF(K267=G267,"Sim","Não"))</f>
        <v/>
      </c>
      <c r="M267" s="12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8">
        <f>IF(OR(H268="",I268=""),"",INDEX(Matriz!$C$5:$E$7,H268,I268))</f>
        <v/>
      </c>
      <c r="K268" s="12" t="n"/>
      <c r="L268" s="18">
        <f>IF(OR(K268="",G268=""),"",IF(K268=G268,"Sim","Não"))</f>
        <v/>
      </c>
      <c r="M268" s="12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8">
        <f>IF(OR(H269="",I269=""),"",INDEX(Matriz!$C$5:$E$7,H269,I269))</f>
        <v/>
      </c>
      <c r="K269" s="12" t="n"/>
      <c r="L269" s="18">
        <f>IF(OR(K269="",G269=""),"",IF(K269=G269,"Sim","Não"))</f>
        <v/>
      </c>
      <c r="M269" s="12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8">
        <f>IF(OR(H270="",I270=""),"",INDEX(Matriz!$C$5:$E$7,H270,I270))</f>
        <v/>
      </c>
      <c r="K270" s="12" t="n"/>
      <c r="L270" s="18">
        <f>IF(OR(K270="",G270=""),"",IF(K270=G270,"Sim","Não"))</f>
        <v/>
      </c>
      <c r="M270" s="12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8">
        <f>IF(OR(H271="",I271=""),"",INDEX(Matriz!$C$5:$E$7,H271,I271))</f>
        <v/>
      </c>
      <c r="K271" s="12" t="n"/>
      <c r="L271" s="18">
        <f>IF(OR(K271="",G271=""),"",IF(K271=G271,"Sim","Não"))</f>
        <v/>
      </c>
      <c r="M271" s="12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8">
        <f>IF(OR(H272="",I272=""),"",INDEX(Matriz!$C$5:$E$7,H272,I272))</f>
        <v/>
      </c>
      <c r="K272" s="12" t="n"/>
      <c r="L272" s="18">
        <f>IF(OR(K272="",G272=""),"",IF(K272=G272,"Sim","Não"))</f>
        <v/>
      </c>
      <c r="M272" s="12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8">
        <f>IF(OR(H273="",I273=""),"",INDEX(Matriz!$C$5:$E$7,H273,I273))</f>
        <v/>
      </c>
      <c r="K273" s="12" t="n"/>
      <c r="L273" s="18">
        <f>IF(OR(K273="",G273=""),"",IF(K273=G273,"Sim","Não"))</f>
        <v/>
      </c>
      <c r="M273" s="12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8">
        <f>IF(OR(H274="",I274=""),"",INDEX(Matriz!$C$5:$E$7,H274,I274))</f>
        <v/>
      </c>
      <c r="K274" s="12" t="n"/>
      <c r="L274" s="18">
        <f>IF(OR(K274="",G274=""),"",IF(K274=G274,"Sim","Não"))</f>
        <v/>
      </c>
      <c r="M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8">
        <f>IF(OR(H275="",I275=""),"",INDEX(Matriz!$C$5:$E$7,H275,I275))</f>
        <v/>
      </c>
      <c r="K275" s="12" t="n"/>
      <c r="L275" s="18">
        <f>IF(OR(K275="",G275=""),"",IF(K275=G275,"Sim","Não"))</f>
        <v/>
      </c>
      <c r="M275" s="12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8">
        <f>IF(OR(H276="",I276=""),"",INDEX(Matriz!$C$5:$E$7,H276,I276))</f>
        <v/>
      </c>
      <c r="K276" s="12" t="n"/>
      <c r="L276" s="18">
        <f>IF(OR(K276="",G276=""),"",IF(K276=G276,"Sim","Não"))</f>
        <v/>
      </c>
      <c r="M276" s="12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8">
        <f>IF(OR(H277="",I277=""),"",INDEX(Matriz!$C$5:$E$7,H277,I277))</f>
        <v/>
      </c>
      <c r="K277" s="12" t="n"/>
      <c r="L277" s="18">
        <f>IF(OR(K277="",G277=""),"",IF(K277=G277,"Sim","Não"))</f>
        <v/>
      </c>
      <c r="M277" s="12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8">
        <f>IF(OR(H278="",I278=""),"",INDEX(Matriz!$C$5:$E$7,H278,I278))</f>
        <v/>
      </c>
      <c r="K278" s="12" t="n"/>
      <c r="L278" s="18">
        <f>IF(OR(K278="",G278=""),"",IF(K278=G278,"Sim","Não"))</f>
        <v/>
      </c>
      <c r="M278" s="12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8">
        <f>IF(OR(H279="",I279=""),"",INDEX(Matriz!$C$5:$E$7,H279,I279))</f>
        <v/>
      </c>
      <c r="K279" s="12" t="n"/>
      <c r="L279" s="18">
        <f>IF(OR(K279="",G279=""),"",IF(K279=G279,"Sim","Não"))</f>
        <v/>
      </c>
      <c r="M279" s="12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8">
        <f>IF(OR(H280="",I280=""),"",INDEX(Matriz!$C$5:$E$7,H280,I280))</f>
        <v/>
      </c>
      <c r="K280" s="12" t="n"/>
      <c r="L280" s="18">
        <f>IF(OR(K280="",G280=""),"",IF(K280=G280,"Sim","Não"))</f>
        <v/>
      </c>
      <c r="M280" s="12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8">
        <f>IF(OR(H281="",I281=""),"",INDEX(Matriz!$C$5:$E$7,H281,I281))</f>
        <v/>
      </c>
      <c r="K281" s="12" t="n"/>
      <c r="L281" s="18">
        <f>IF(OR(K281="",G281=""),"",IF(K281=G281,"Sim","Não"))</f>
        <v/>
      </c>
      <c r="M281" s="12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8">
        <f>IF(OR(H282="",I282=""),"",INDEX(Matriz!$C$5:$E$7,H282,I282))</f>
        <v/>
      </c>
      <c r="K282" s="12" t="n"/>
      <c r="L282" s="18">
        <f>IF(OR(K282="",G282=""),"",IF(K282=G282,"Sim","Não"))</f>
        <v/>
      </c>
      <c r="M282" s="12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8">
        <f>IF(OR(H283="",I283=""),"",INDEX(Matriz!$C$5:$E$7,H283,I283))</f>
        <v/>
      </c>
      <c r="K283" s="12" t="n"/>
      <c r="L283" s="18">
        <f>IF(OR(K283="",G283=""),"",IF(K283=G283,"Sim","Não"))</f>
        <v/>
      </c>
      <c r="M283" s="12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8">
        <f>IF(OR(H284="",I284=""),"",INDEX(Matriz!$C$5:$E$7,H284,I284))</f>
        <v/>
      </c>
      <c r="K284" s="12" t="n"/>
      <c r="L284" s="18">
        <f>IF(OR(K284="",G284=""),"",IF(K284=G284,"Sim","Não"))</f>
        <v/>
      </c>
      <c r="M284" s="12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8">
        <f>IF(OR(H285="",I285=""),"",INDEX(Matriz!$C$5:$E$7,H285,I285))</f>
        <v/>
      </c>
      <c r="K285" s="12" t="n"/>
      <c r="L285" s="18">
        <f>IF(OR(K285="",G285=""),"",IF(K285=G285,"Sim","Não"))</f>
        <v/>
      </c>
      <c r="M285" s="12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8">
        <f>IF(OR(H286="",I286=""),"",INDEX(Matriz!$C$5:$E$7,H286,I286))</f>
        <v/>
      </c>
      <c r="K286" s="12" t="n"/>
      <c r="L286" s="18">
        <f>IF(OR(K286="",G286=""),"",IF(K286=G286,"Sim","Não"))</f>
        <v/>
      </c>
      <c r="M286" s="12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8">
        <f>IF(OR(H287="",I287=""),"",INDEX(Matriz!$C$5:$E$7,H287,I287))</f>
        <v/>
      </c>
      <c r="K287" s="12" t="n"/>
      <c r="L287" s="18">
        <f>IF(OR(K287="",G287=""),"",IF(K287=G287,"Sim","Não"))</f>
        <v/>
      </c>
      <c r="M287" s="12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8">
        <f>IF(OR(H288="",I288=""),"",INDEX(Matriz!$C$5:$E$7,H288,I288))</f>
        <v/>
      </c>
      <c r="K288" s="12" t="n"/>
      <c r="L288" s="18">
        <f>IF(OR(K288="",G288=""),"",IF(K288=G288,"Sim","Não"))</f>
        <v/>
      </c>
      <c r="M288" s="12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8">
        <f>IF(OR(H289="",I289=""),"",INDEX(Matriz!$C$5:$E$7,H289,I289))</f>
        <v/>
      </c>
      <c r="K289" s="12" t="n"/>
      <c r="L289" s="18">
        <f>IF(OR(K289="",G289=""),"",IF(K289=G289,"Sim","Não"))</f>
        <v/>
      </c>
      <c r="M289" s="12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8">
        <f>IF(OR(H290="",I290=""),"",INDEX(Matriz!$C$5:$E$7,H290,I290))</f>
        <v/>
      </c>
      <c r="K290" s="12" t="n"/>
      <c r="L290" s="18">
        <f>IF(OR(K290="",G290=""),"",IF(K290=G290,"Sim","Não"))</f>
        <v/>
      </c>
      <c r="M290" s="12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8">
        <f>IF(OR(H291="",I291=""),"",INDEX(Matriz!$C$5:$E$7,H291,I291))</f>
        <v/>
      </c>
      <c r="K291" s="12" t="n"/>
      <c r="L291" s="18">
        <f>IF(OR(K291="",G291=""),"",IF(K291=G291,"Sim","Não"))</f>
        <v/>
      </c>
      <c r="M291" s="12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8">
        <f>IF(OR(H292="",I292=""),"",INDEX(Matriz!$C$5:$E$7,H292,I292))</f>
        <v/>
      </c>
      <c r="K292" s="12" t="n"/>
      <c r="L292" s="18">
        <f>IF(OR(K292="",G292=""),"",IF(K292=G292,"Sim","Não"))</f>
        <v/>
      </c>
      <c r="M292" s="12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8">
        <f>IF(OR(H293="",I293=""),"",INDEX(Matriz!$C$5:$E$7,H293,I293))</f>
        <v/>
      </c>
      <c r="K293" s="12" t="n"/>
      <c r="L293" s="18">
        <f>IF(OR(K293="",G293=""),"",IF(K293=G293,"Sim","Não"))</f>
        <v/>
      </c>
      <c r="M293" s="12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8">
        <f>IF(OR(H294="",I294=""),"",INDEX(Matriz!$C$5:$E$7,H294,I294))</f>
        <v/>
      </c>
      <c r="K294" s="12" t="n"/>
      <c r="L294" s="18">
        <f>IF(OR(K294="",G294=""),"",IF(K294=G294,"Sim","Não"))</f>
        <v/>
      </c>
      <c r="M294" s="12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8">
        <f>IF(OR(H295="",I295=""),"",INDEX(Matriz!$C$5:$E$7,H295,I295))</f>
        <v/>
      </c>
      <c r="K295" s="12" t="n"/>
      <c r="L295" s="18">
        <f>IF(OR(K295="",G295=""),"",IF(K295=G295,"Sim","Não"))</f>
        <v/>
      </c>
      <c r="M295" s="12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8">
        <f>IF(OR(H296="",I296=""),"",INDEX(Matriz!$C$5:$E$7,H296,I296))</f>
        <v/>
      </c>
      <c r="K296" s="12" t="n"/>
      <c r="L296" s="18">
        <f>IF(OR(K296="",G296=""),"",IF(K296=G296,"Sim","Não"))</f>
        <v/>
      </c>
      <c r="M296" s="12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8">
        <f>IF(OR(H297="",I297=""),"",INDEX(Matriz!$C$5:$E$7,H297,I297))</f>
        <v/>
      </c>
      <c r="K297" s="12" t="n"/>
      <c r="L297" s="18">
        <f>IF(OR(K297="",G297=""),"",IF(K297=G297,"Sim","Não"))</f>
        <v/>
      </c>
      <c r="M297" s="12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8">
        <f>IF(OR(H298="",I298=""),"",INDEX(Matriz!$C$5:$E$7,H298,I298))</f>
        <v/>
      </c>
      <c r="K298" s="12" t="n"/>
      <c r="L298" s="18">
        <f>IF(OR(K298="",G298=""),"",IF(K298=G298,"Sim","Não"))</f>
        <v/>
      </c>
      <c r="M298" s="12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8">
        <f>IF(OR(H299="",I299=""),"",INDEX(Matriz!$C$5:$E$7,H299,I299))</f>
        <v/>
      </c>
      <c r="K299" s="12" t="n"/>
      <c r="L299" s="18">
        <f>IF(OR(K299="",G299=""),"",IF(K299=G299,"Sim","Não"))</f>
        <v/>
      </c>
      <c r="M299" s="12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8">
        <f>IF(OR(H300="",I300=""),"",INDEX(Matriz!$C$5:$E$7,H300,I300))</f>
        <v/>
      </c>
      <c r="K300" s="12" t="n"/>
      <c r="L300" s="18">
        <f>IF(OR(K300="",G300=""),"",IF(K300=G300,"Sim","Não"))</f>
        <v/>
      </c>
      <c r="M300" s="12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8">
        <f>IF(OR(H301="",I301=""),"",INDEX(Matriz!$C$5:$E$7,H301,I301))</f>
        <v/>
      </c>
      <c r="K301" s="12" t="n"/>
      <c r="L301" s="18">
        <f>IF(OR(K301="",G301=""),"",IF(K301=G301,"Sim","Não"))</f>
        <v/>
      </c>
      <c r="M301" s="12" t="n"/>
    </row>
  </sheetData>
  <conditionalFormatting sqref="J2:J301">
    <cfRule type="expression" priority="1" dxfId="0">
      <formula>$J2="P1"</formula>
    </cfRule>
    <cfRule type="expression" priority="2" dxfId="1">
      <formula>$J2="P2"</formula>
    </cfRule>
    <cfRule type="expression" priority="3" dxfId="2">
      <formula>$J2="P3"</formula>
    </cfRule>
    <cfRule type="expression" priority="4" dxfId="3">
      <formula>$J2="P4"</formula>
    </cfRule>
  </conditionalFormatting>
  <dataValidations count="5">
    <dataValidation sqref="C2:C301" showDropDown="0" showInputMessage="0" showErrorMessage="0" allowBlank="1" type="list">
      <formula1>"Antes,Depois"</formula1>
    </dataValidation>
    <dataValidation sqref="F2:F301" showDropDown="0" showInputMessage="0" showErrorMessage="0" allowBlank="1" type="list">
      <formula1>"Incidente,Requisição de serviço,Problema"</formula1>
    </dataValidation>
    <dataValidation sqref="G2:G301" showDropDown="0" showInputMessage="0" showErrorMessage="0" allowBlank="1" type="list">
      <formula1>=Categorias!$A$2:$A$21</formula1>
    </dataValidation>
    <dataValidation sqref="K2:K301" showDropDown="0" showInputMessage="0" showErrorMessage="0" allowBlank="1" type="list">
      <formula1>=Categorias!$A$2:$A$21</formula1>
    </dataValidation>
    <dataValidation sqref="H2:I301" showDropDown="0" showInputMessage="0" showErrorMessage="0" allowBlank="1" type="whole" operator="between">
      <formula1>1</formula1>
      <formula2>3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22" customWidth="1" min="4" max="4"/>
    <col width="26" customWidth="1" min="5" max="5"/>
  </cols>
  <sheetData>
    <row r="1">
      <c r="A1" s="11" t="inlineStr">
        <is>
          <t>SamAccountName</t>
        </is>
      </c>
      <c r="B1" s="11" t="inlineStr">
        <is>
          <t>Name</t>
        </is>
      </c>
      <c r="C1" s="11" t="inlineStr">
        <is>
          <t>LastLogonDate</t>
        </is>
      </c>
      <c r="D1" s="11" t="inlineStr">
        <is>
          <t>Desligado segundo o RH?</t>
        </is>
      </c>
      <c r="E1" s="11" t="inlineStr">
        <is>
          <t>Ação tomada</t>
        </is>
      </c>
    </row>
    <row r="2">
      <c r="A2" s="20" t="inlineStr">
        <is>
          <t>usuario.exemplo</t>
        </is>
      </c>
      <c r="B2" s="20" t="inlineStr">
        <is>
          <t>Usuário Exemplo</t>
        </is>
      </c>
      <c r="C2" s="20" t="inlineStr">
        <is>
          <t>10/05/2026</t>
        </is>
      </c>
      <c r="D2" s="5">
        <f>IF(A2="","",IF(COUNTIF(Desligados_RH!$A$2:$A$1000,A2)&gt;0,"SIM","não"))</f>
        <v/>
      </c>
      <c r="E2" s="20" t="inlineStr">
        <is>
          <t>Desabilitada</t>
        </is>
      </c>
    </row>
    <row r="3">
      <c r="A3" s="21" t="n"/>
      <c r="B3" s="21" t="n"/>
      <c r="C3" s="21" t="n"/>
      <c r="D3" s="5">
        <f>IF(A3="","",IF(COUNTIF(Desligados_RH!$A$2:$A$1000,A3)&gt;0,"SIM","não"))</f>
        <v/>
      </c>
      <c r="E3" s="21" t="n"/>
    </row>
    <row r="4">
      <c r="A4" s="21" t="n"/>
      <c r="B4" s="21" t="n"/>
      <c r="C4" s="21" t="n"/>
      <c r="D4" s="5">
        <f>IF(A4="","",IF(COUNTIF(Desligados_RH!$A$2:$A$1000,A4)&gt;0,"SIM","não"))</f>
        <v/>
      </c>
      <c r="E4" s="21" t="n"/>
    </row>
    <row r="5">
      <c r="A5" s="21" t="n"/>
      <c r="B5" s="21" t="n"/>
      <c r="C5" s="21" t="n"/>
      <c r="D5" s="5">
        <f>IF(A5="","",IF(COUNTIF(Desligados_RH!$A$2:$A$1000,A5)&gt;0,"SIM","não"))</f>
        <v/>
      </c>
      <c r="E5" s="21" t="n"/>
    </row>
    <row r="6">
      <c r="A6" s="21" t="n"/>
      <c r="B6" s="21" t="n"/>
      <c r="C6" s="21" t="n"/>
      <c r="D6" s="5">
        <f>IF(A6="","",IF(COUNTIF(Desligados_RH!$A$2:$A$1000,A6)&gt;0,"SIM","não"))</f>
        <v/>
      </c>
      <c r="E6" s="21" t="n"/>
    </row>
    <row r="7">
      <c r="A7" s="21" t="n"/>
      <c r="B7" s="21" t="n"/>
      <c r="C7" s="21" t="n"/>
      <c r="D7" s="5">
        <f>IF(A7="","",IF(COUNTIF(Desligados_RH!$A$2:$A$1000,A7)&gt;0,"SIM","não"))</f>
        <v/>
      </c>
      <c r="E7" s="21" t="n"/>
    </row>
    <row r="8">
      <c r="A8" s="21" t="n"/>
      <c r="B8" s="21" t="n"/>
      <c r="C8" s="21" t="n"/>
      <c r="D8" s="5">
        <f>IF(A8="","",IF(COUNTIF(Desligados_RH!$A$2:$A$1000,A8)&gt;0,"SIM","não"))</f>
        <v/>
      </c>
      <c r="E8" s="21" t="n"/>
    </row>
    <row r="9">
      <c r="A9" s="21" t="n"/>
      <c r="B9" s="21" t="n"/>
      <c r="C9" s="21" t="n"/>
      <c r="D9" s="5">
        <f>IF(A9="","",IF(COUNTIF(Desligados_RH!$A$2:$A$1000,A9)&gt;0,"SIM","não"))</f>
        <v/>
      </c>
      <c r="E9" s="21" t="n"/>
    </row>
    <row r="10">
      <c r="A10" s="21" t="n"/>
      <c r="B10" s="21" t="n"/>
      <c r="C10" s="21" t="n"/>
      <c r="D10" s="5">
        <f>IF(A10="","",IF(COUNTIF(Desligados_RH!$A$2:$A$1000,A10)&gt;0,"SIM","não"))</f>
        <v/>
      </c>
      <c r="E10" s="21" t="n"/>
    </row>
    <row r="11">
      <c r="A11" s="21" t="n"/>
      <c r="B11" s="21" t="n"/>
      <c r="C11" s="21" t="n"/>
      <c r="D11" s="5">
        <f>IF(A11="","",IF(COUNTIF(Desligados_RH!$A$2:$A$1000,A11)&gt;0,"SIM","não"))</f>
        <v/>
      </c>
      <c r="E11" s="21" t="n"/>
    </row>
    <row r="12">
      <c r="A12" s="21" t="n"/>
      <c r="B12" s="21" t="n"/>
      <c r="C12" s="21" t="n"/>
      <c r="D12" s="5">
        <f>IF(A12="","",IF(COUNTIF(Desligados_RH!$A$2:$A$1000,A12)&gt;0,"SIM","não"))</f>
        <v/>
      </c>
      <c r="E12" s="21" t="n"/>
    </row>
    <row r="13">
      <c r="A13" s="21" t="n"/>
      <c r="B13" s="21" t="n"/>
      <c r="C13" s="21" t="n"/>
      <c r="D13" s="5">
        <f>IF(A13="","",IF(COUNTIF(Desligados_RH!$A$2:$A$1000,A13)&gt;0,"SIM","não"))</f>
        <v/>
      </c>
      <c r="E13" s="21" t="n"/>
    </row>
    <row r="14">
      <c r="A14" s="21" t="n"/>
      <c r="B14" s="21" t="n"/>
      <c r="C14" s="21" t="n"/>
      <c r="D14" s="5">
        <f>IF(A14="","",IF(COUNTIF(Desligados_RH!$A$2:$A$1000,A14)&gt;0,"SIM","não"))</f>
        <v/>
      </c>
      <c r="E14" s="21" t="n"/>
    </row>
    <row r="15">
      <c r="A15" s="21" t="n"/>
      <c r="B15" s="21" t="n"/>
      <c r="C15" s="21" t="n"/>
      <c r="D15" s="5">
        <f>IF(A15="","",IF(COUNTIF(Desligados_RH!$A$2:$A$1000,A15)&gt;0,"SIM","não"))</f>
        <v/>
      </c>
      <c r="E15" s="21" t="n"/>
    </row>
    <row r="16">
      <c r="A16" s="21" t="n"/>
      <c r="B16" s="21" t="n"/>
      <c r="C16" s="21" t="n"/>
      <c r="D16" s="5">
        <f>IF(A16="","",IF(COUNTIF(Desligados_RH!$A$2:$A$1000,A16)&gt;0,"SIM","não"))</f>
        <v/>
      </c>
      <c r="E16" s="21" t="n"/>
    </row>
    <row r="17">
      <c r="A17" s="21" t="n"/>
      <c r="B17" s="21" t="n"/>
      <c r="C17" s="21" t="n"/>
      <c r="D17" s="5">
        <f>IF(A17="","",IF(COUNTIF(Desligados_RH!$A$2:$A$1000,A17)&gt;0,"SIM","não"))</f>
        <v/>
      </c>
      <c r="E17" s="21" t="n"/>
    </row>
    <row r="18">
      <c r="A18" s="21" t="n"/>
      <c r="B18" s="21" t="n"/>
      <c r="C18" s="21" t="n"/>
      <c r="D18" s="5">
        <f>IF(A18="","",IF(COUNTIF(Desligados_RH!$A$2:$A$1000,A18)&gt;0,"SIM","não"))</f>
        <v/>
      </c>
      <c r="E18" s="21" t="n"/>
    </row>
    <row r="19">
      <c r="A19" s="21" t="n"/>
      <c r="B19" s="21" t="n"/>
      <c r="C19" s="21" t="n"/>
      <c r="D19" s="5">
        <f>IF(A19="","",IF(COUNTIF(Desligados_RH!$A$2:$A$1000,A19)&gt;0,"SIM","não"))</f>
        <v/>
      </c>
      <c r="E19" s="21" t="n"/>
    </row>
    <row r="20">
      <c r="A20" s="21" t="n"/>
      <c r="B20" s="21" t="n"/>
      <c r="C20" s="21" t="n"/>
      <c r="D20" s="5">
        <f>IF(A20="","",IF(COUNTIF(Desligados_RH!$A$2:$A$1000,A20)&gt;0,"SIM","não"))</f>
        <v/>
      </c>
      <c r="E20" s="21" t="n"/>
    </row>
    <row r="21">
      <c r="A21" s="21" t="n"/>
      <c r="B21" s="21" t="n"/>
      <c r="C21" s="21" t="n"/>
      <c r="D21" s="5">
        <f>IF(A21="","",IF(COUNTIF(Desligados_RH!$A$2:$A$1000,A21)&gt;0,"SIM","não"))</f>
        <v/>
      </c>
      <c r="E21" s="21" t="n"/>
    </row>
    <row r="22">
      <c r="A22" s="21" t="n"/>
      <c r="B22" s="21" t="n"/>
      <c r="C22" s="21" t="n"/>
      <c r="D22" s="5">
        <f>IF(A22="","",IF(COUNTIF(Desligados_RH!$A$2:$A$1000,A22)&gt;0,"SIM","não"))</f>
        <v/>
      </c>
      <c r="E22" s="21" t="n"/>
    </row>
    <row r="23">
      <c r="A23" s="21" t="n"/>
      <c r="B23" s="21" t="n"/>
      <c r="C23" s="21" t="n"/>
      <c r="D23" s="5">
        <f>IF(A23="","",IF(COUNTIF(Desligados_RH!$A$2:$A$1000,A23)&gt;0,"SIM","não"))</f>
        <v/>
      </c>
      <c r="E23" s="21" t="n"/>
    </row>
    <row r="24">
      <c r="A24" s="21" t="n"/>
      <c r="B24" s="21" t="n"/>
      <c r="C24" s="21" t="n"/>
      <c r="D24" s="5">
        <f>IF(A24="","",IF(COUNTIF(Desligados_RH!$A$2:$A$1000,A24)&gt;0,"SIM","não"))</f>
        <v/>
      </c>
      <c r="E24" s="21" t="n"/>
    </row>
    <row r="25">
      <c r="A25" s="21" t="n"/>
      <c r="B25" s="21" t="n"/>
      <c r="C25" s="21" t="n"/>
      <c r="D25" s="5">
        <f>IF(A25="","",IF(COUNTIF(Desligados_RH!$A$2:$A$1000,A25)&gt;0,"SIM","não"))</f>
        <v/>
      </c>
      <c r="E25" s="21" t="n"/>
    </row>
    <row r="26">
      <c r="A26" s="21" t="n"/>
      <c r="B26" s="21" t="n"/>
      <c r="C26" s="21" t="n"/>
      <c r="D26" s="5">
        <f>IF(A26="","",IF(COUNTIF(Desligados_RH!$A$2:$A$1000,A26)&gt;0,"SIM","não"))</f>
        <v/>
      </c>
      <c r="E26" s="21" t="n"/>
    </row>
    <row r="27">
      <c r="A27" s="21" t="n"/>
      <c r="B27" s="21" t="n"/>
      <c r="C27" s="21" t="n"/>
      <c r="D27" s="5">
        <f>IF(A27="","",IF(COUNTIF(Desligados_RH!$A$2:$A$1000,A27)&gt;0,"SIM","não"))</f>
        <v/>
      </c>
      <c r="E27" s="21" t="n"/>
    </row>
    <row r="28">
      <c r="A28" s="21" t="n"/>
      <c r="B28" s="21" t="n"/>
      <c r="C28" s="21" t="n"/>
      <c r="D28" s="5">
        <f>IF(A28="","",IF(COUNTIF(Desligados_RH!$A$2:$A$1000,A28)&gt;0,"SIM","não"))</f>
        <v/>
      </c>
      <c r="E28" s="21" t="n"/>
    </row>
    <row r="29">
      <c r="A29" s="21" t="n"/>
      <c r="B29" s="21" t="n"/>
      <c r="C29" s="21" t="n"/>
      <c r="D29" s="5">
        <f>IF(A29="","",IF(COUNTIF(Desligados_RH!$A$2:$A$1000,A29)&gt;0,"SIM","não"))</f>
        <v/>
      </c>
      <c r="E29" s="21" t="n"/>
    </row>
    <row r="30">
      <c r="A30" s="21" t="n"/>
      <c r="B30" s="21" t="n"/>
      <c r="C30" s="21" t="n"/>
      <c r="D30" s="5">
        <f>IF(A30="","",IF(COUNTIF(Desligados_RH!$A$2:$A$1000,A30)&gt;0,"SIM","não"))</f>
        <v/>
      </c>
      <c r="E30" s="21" t="n"/>
    </row>
    <row r="31">
      <c r="A31" s="21" t="n"/>
      <c r="B31" s="21" t="n"/>
      <c r="C31" s="21" t="n"/>
      <c r="D31" s="5">
        <f>IF(A31="","",IF(COUNTIF(Desligados_RH!$A$2:$A$1000,A31)&gt;0,"SIM","não"))</f>
        <v/>
      </c>
      <c r="E31" s="21" t="n"/>
    </row>
    <row r="32">
      <c r="A32" s="21" t="n"/>
      <c r="B32" s="21" t="n"/>
      <c r="C32" s="21" t="n"/>
      <c r="D32" s="5">
        <f>IF(A32="","",IF(COUNTIF(Desligados_RH!$A$2:$A$1000,A32)&gt;0,"SIM","não"))</f>
        <v/>
      </c>
      <c r="E32" s="21" t="n"/>
    </row>
    <row r="33">
      <c r="A33" s="21" t="n"/>
      <c r="B33" s="21" t="n"/>
      <c r="C33" s="21" t="n"/>
      <c r="D33" s="5">
        <f>IF(A33="","",IF(COUNTIF(Desligados_RH!$A$2:$A$1000,A33)&gt;0,"SIM","não"))</f>
        <v/>
      </c>
      <c r="E33" s="21" t="n"/>
    </row>
    <row r="34">
      <c r="A34" s="21" t="n"/>
      <c r="B34" s="21" t="n"/>
      <c r="C34" s="21" t="n"/>
      <c r="D34" s="5">
        <f>IF(A34="","",IF(COUNTIF(Desligados_RH!$A$2:$A$1000,A34)&gt;0,"SIM","não"))</f>
        <v/>
      </c>
      <c r="E34" s="21" t="n"/>
    </row>
    <row r="35">
      <c r="A35" s="21" t="n"/>
      <c r="B35" s="21" t="n"/>
      <c r="C35" s="21" t="n"/>
      <c r="D35" s="5">
        <f>IF(A35="","",IF(COUNTIF(Desligados_RH!$A$2:$A$1000,A35)&gt;0,"SIM","não"))</f>
        <v/>
      </c>
      <c r="E35" s="21" t="n"/>
    </row>
    <row r="36">
      <c r="A36" s="21" t="n"/>
      <c r="B36" s="21" t="n"/>
      <c r="C36" s="21" t="n"/>
      <c r="D36" s="5">
        <f>IF(A36="","",IF(COUNTIF(Desligados_RH!$A$2:$A$1000,A36)&gt;0,"SIM","não"))</f>
        <v/>
      </c>
      <c r="E36" s="21" t="n"/>
    </row>
    <row r="37">
      <c r="A37" s="21" t="n"/>
      <c r="B37" s="21" t="n"/>
      <c r="C37" s="21" t="n"/>
      <c r="D37" s="5">
        <f>IF(A37="","",IF(COUNTIF(Desligados_RH!$A$2:$A$1000,A37)&gt;0,"SIM","não"))</f>
        <v/>
      </c>
      <c r="E37" s="21" t="n"/>
    </row>
    <row r="38">
      <c r="A38" s="21" t="n"/>
      <c r="B38" s="21" t="n"/>
      <c r="C38" s="21" t="n"/>
      <c r="D38" s="5">
        <f>IF(A38="","",IF(COUNTIF(Desligados_RH!$A$2:$A$1000,A38)&gt;0,"SIM","não"))</f>
        <v/>
      </c>
      <c r="E38" s="21" t="n"/>
    </row>
    <row r="39">
      <c r="A39" s="21" t="n"/>
      <c r="B39" s="21" t="n"/>
      <c r="C39" s="21" t="n"/>
      <c r="D39" s="5">
        <f>IF(A39="","",IF(COUNTIF(Desligados_RH!$A$2:$A$1000,A39)&gt;0,"SIM","não"))</f>
        <v/>
      </c>
      <c r="E39" s="21" t="n"/>
    </row>
    <row r="40">
      <c r="A40" s="21" t="n"/>
      <c r="B40" s="21" t="n"/>
      <c r="C40" s="21" t="n"/>
      <c r="D40" s="5">
        <f>IF(A40="","",IF(COUNTIF(Desligados_RH!$A$2:$A$1000,A40)&gt;0,"SIM","não"))</f>
        <v/>
      </c>
      <c r="E40" s="21" t="n"/>
    </row>
    <row r="41">
      <c r="A41" s="21" t="n"/>
      <c r="B41" s="21" t="n"/>
      <c r="C41" s="21" t="n"/>
      <c r="D41" s="5">
        <f>IF(A41="","",IF(COUNTIF(Desligados_RH!$A$2:$A$1000,A41)&gt;0,"SIM","não"))</f>
        <v/>
      </c>
      <c r="E41" s="21" t="n"/>
    </row>
    <row r="42">
      <c r="A42" s="21" t="n"/>
      <c r="B42" s="21" t="n"/>
      <c r="C42" s="21" t="n"/>
      <c r="D42" s="5">
        <f>IF(A42="","",IF(COUNTIF(Desligados_RH!$A$2:$A$1000,A42)&gt;0,"SIM","não"))</f>
        <v/>
      </c>
      <c r="E42" s="21" t="n"/>
    </row>
    <row r="43">
      <c r="A43" s="21" t="n"/>
      <c r="B43" s="21" t="n"/>
      <c r="C43" s="21" t="n"/>
      <c r="D43" s="5">
        <f>IF(A43="","",IF(COUNTIF(Desligados_RH!$A$2:$A$1000,A43)&gt;0,"SIM","não"))</f>
        <v/>
      </c>
      <c r="E43" s="21" t="n"/>
    </row>
    <row r="44">
      <c r="A44" s="21" t="n"/>
      <c r="B44" s="21" t="n"/>
      <c r="C44" s="21" t="n"/>
      <c r="D44" s="5">
        <f>IF(A44="","",IF(COUNTIF(Desligados_RH!$A$2:$A$1000,A44)&gt;0,"SIM","não"))</f>
        <v/>
      </c>
      <c r="E44" s="21" t="n"/>
    </row>
    <row r="45">
      <c r="A45" s="21" t="n"/>
      <c r="B45" s="21" t="n"/>
      <c r="C45" s="21" t="n"/>
      <c r="D45" s="5">
        <f>IF(A45="","",IF(COUNTIF(Desligados_RH!$A$2:$A$1000,A45)&gt;0,"SIM","não"))</f>
        <v/>
      </c>
      <c r="E45" s="21" t="n"/>
    </row>
    <row r="46">
      <c r="A46" s="21" t="n"/>
      <c r="B46" s="21" t="n"/>
      <c r="C46" s="21" t="n"/>
      <c r="D46" s="5">
        <f>IF(A46="","",IF(COUNTIF(Desligados_RH!$A$2:$A$1000,A46)&gt;0,"SIM","não"))</f>
        <v/>
      </c>
      <c r="E46" s="21" t="n"/>
    </row>
    <row r="47">
      <c r="A47" s="21" t="n"/>
      <c r="B47" s="21" t="n"/>
      <c r="C47" s="21" t="n"/>
      <c r="D47" s="5">
        <f>IF(A47="","",IF(COUNTIF(Desligados_RH!$A$2:$A$1000,A47)&gt;0,"SIM","não"))</f>
        <v/>
      </c>
      <c r="E47" s="21" t="n"/>
    </row>
    <row r="48">
      <c r="A48" s="21" t="n"/>
      <c r="B48" s="21" t="n"/>
      <c r="C48" s="21" t="n"/>
      <c r="D48" s="5">
        <f>IF(A48="","",IF(COUNTIF(Desligados_RH!$A$2:$A$1000,A48)&gt;0,"SIM","não"))</f>
        <v/>
      </c>
      <c r="E48" s="21" t="n"/>
    </row>
    <row r="49">
      <c r="A49" s="21" t="n"/>
      <c r="B49" s="21" t="n"/>
      <c r="C49" s="21" t="n"/>
      <c r="D49" s="5">
        <f>IF(A49="","",IF(COUNTIF(Desligados_RH!$A$2:$A$1000,A49)&gt;0,"SIM","não"))</f>
        <v/>
      </c>
      <c r="E49" s="21" t="n"/>
    </row>
    <row r="50">
      <c r="A50" s="21" t="n"/>
      <c r="B50" s="21" t="n"/>
      <c r="C50" s="21" t="n"/>
      <c r="D50" s="5">
        <f>IF(A50="","",IF(COUNTIF(Desligados_RH!$A$2:$A$1000,A50)&gt;0,"SIM","não"))</f>
        <v/>
      </c>
      <c r="E50" s="21" t="n"/>
    </row>
    <row r="51">
      <c r="A51" s="21" t="n"/>
      <c r="B51" s="21" t="n"/>
      <c r="C51" s="21" t="n"/>
      <c r="D51" s="5">
        <f>IF(A51="","",IF(COUNTIF(Desligados_RH!$A$2:$A$1000,A51)&gt;0,"SIM","não"))</f>
        <v/>
      </c>
      <c r="E51" s="21" t="n"/>
    </row>
    <row r="52">
      <c r="A52" s="21" t="n"/>
      <c r="B52" s="21" t="n"/>
      <c r="C52" s="21" t="n"/>
      <c r="D52" s="5">
        <f>IF(A52="","",IF(COUNTIF(Desligados_RH!$A$2:$A$1000,A52)&gt;0,"SIM","não"))</f>
        <v/>
      </c>
      <c r="E52" s="21" t="n"/>
    </row>
    <row r="53">
      <c r="A53" s="21" t="n"/>
      <c r="B53" s="21" t="n"/>
      <c r="C53" s="21" t="n"/>
      <c r="D53" s="5">
        <f>IF(A53="","",IF(COUNTIF(Desligados_RH!$A$2:$A$1000,A53)&gt;0,"SIM","não"))</f>
        <v/>
      </c>
      <c r="E53" s="21" t="n"/>
    </row>
    <row r="54">
      <c r="A54" s="21" t="n"/>
      <c r="B54" s="21" t="n"/>
      <c r="C54" s="21" t="n"/>
      <c r="D54" s="5">
        <f>IF(A54="","",IF(COUNTIF(Desligados_RH!$A$2:$A$1000,A54)&gt;0,"SIM","não"))</f>
        <v/>
      </c>
      <c r="E54" s="21" t="n"/>
    </row>
    <row r="55">
      <c r="A55" s="21" t="n"/>
      <c r="B55" s="21" t="n"/>
      <c r="C55" s="21" t="n"/>
      <c r="D55" s="5">
        <f>IF(A55="","",IF(COUNTIF(Desligados_RH!$A$2:$A$1000,A55)&gt;0,"SIM","não"))</f>
        <v/>
      </c>
      <c r="E55" s="21" t="n"/>
    </row>
    <row r="56">
      <c r="A56" s="21" t="n"/>
      <c r="B56" s="21" t="n"/>
      <c r="C56" s="21" t="n"/>
      <c r="D56" s="5">
        <f>IF(A56="","",IF(COUNTIF(Desligados_RH!$A$2:$A$1000,A56)&gt;0,"SIM","não"))</f>
        <v/>
      </c>
      <c r="E56" s="21" t="n"/>
    </row>
    <row r="57">
      <c r="A57" s="21" t="n"/>
      <c r="B57" s="21" t="n"/>
      <c r="C57" s="21" t="n"/>
      <c r="D57" s="5">
        <f>IF(A57="","",IF(COUNTIF(Desligados_RH!$A$2:$A$1000,A57)&gt;0,"SIM","não"))</f>
        <v/>
      </c>
      <c r="E57" s="21" t="n"/>
    </row>
    <row r="58">
      <c r="A58" s="21" t="n"/>
      <c r="B58" s="21" t="n"/>
      <c r="C58" s="21" t="n"/>
      <c r="D58" s="5">
        <f>IF(A58="","",IF(COUNTIF(Desligados_RH!$A$2:$A$1000,A58)&gt;0,"SIM","não"))</f>
        <v/>
      </c>
      <c r="E58" s="21" t="n"/>
    </row>
    <row r="59">
      <c r="A59" s="21" t="n"/>
      <c r="B59" s="21" t="n"/>
      <c r="C59" s="21" t="n"/>
      <c r="D59" s="5">
        <f>IF(A59="","",IF(COUNTIF(Desligados_RH!$A$2:$A$1000,A59)&gt;0,"SIM","não"))</f>
        <v/>
      </c>
      <c r="E59" s="21" t="n"/>
    </row>
    <row r="60">
      <c r="A60" s="21" t="n"/>
      <c r="B60" s="21" t="n"/>
      <c r="C60" s="21" t="n"/>
      <c r="D60" s="5">
        <f>IF(A60="","",IF(COUNTIF(Desligados_RH!$A$2:$A$1000,A60)&gt;0,"SIM","não"))</f>
        <v/>
      </c>
      <c r="E60" s="21" t="n"/>
    </row>
    <row r="61">
      <c r="A61" s="21" t="n"/>
      <c r="B61" s="21" t="n"/>
      <c r="C61" s="21" t="n"/>
      <c r="D61" s="5">
        <f>IF(A61="","",IF(COUNTIF(Desligados_RH!$A$2:$A$1000,A61)&gt;0,"SIM","não"))</f>
        <v/>
      </c>
      <c r="E61" s="21" t="n"/>
    </row>
    <row r="62">
      <c r="A62" s="21" t="n"/>
      <c r="B62" s="21" t="n"/>
      <c r="C62" s="21" t="n"/>
      <c r="D62" s="5">
        <f>IF(A62="","",IF(COUNTIF(Desligados_RH!$A$2:$A$1000,A62)&gt;0,"SIM","não"))</f>
        <v/>
      </c>
      <c r="E62" s="21" t="n"/>
    </row>
    <row r="63">
      <c r="A63" s="21" t="n"/>
      <c r="B63" s="21" t="n"/>
      <c r="C63" s="21" t="n"/>
      <c r="D63" s="5">
        <f>IF(A63="","",IF(COUNTIF(Desligados_RH!$A$2:$A$1000,A63)&gt;0,"SIM","não"))</f>
        <v/>
      </c>
      <c r="E63" s="21" t="n"/>
    </row>
    <row r="64">
      <c r="A64" s="21" t="n"/>
      <c r="B64" s="21" t="n"/>
      <c r="C64" s="21" t="n"/>
      <c r="D64" s="5">
        <f>IF(A64="","",IF(COUNTIF(Desligados_RH!$A$2:$A$1000,A64)&gt;0,"SIM","não"))</f>
        <v/>
      </c>
      <c r="E64" s="21" t="n"/>
    </row>
    <row r="65">
      <c r="A65" s="21" t="n"/>
      <c r="B65" s="21" t="n"/>
      <c r="C65" s="21" t="n"/>
      <c r="D65" s="5">
        <f>IF(A65="","",IF(COUNTIF(Desligados_RH!$A$2:$A$1000,A65)&gt;0,"SIM","não"))</f>
        <v/>
      </c>
      <c r="E65" s="21" t="n"/>
    </row>
    <row r="66">
      <c r="A66" s="21" t="n"/>
      <c r="B66" s="21" t="n"/>
      <c r="C66" s="21" t="n"/>
      <c r="D66" s="5">
        <f>IF(A66="","",IF(COUNTIF(Desligados_RH!$A$2:$A$1000,A66)&gt;0,"SIM","não"))</f>
        <v/>
      </c>
      <c r="E66" s="21" t="n"/>
    </row>
    <row r="67">
      <c r="A67" s="21" t="n"/>
      <c r="B67" s="21" t="n"/>
      <c r="C67" s="21" t="n"/>
      <c r="D67" s="5">
        <f>IF(A67="","",IF(COUNTIF(Desligados_RH!$A$2:$A$1000,A67)&gt;0,"SIM","não"))</f>
        <v/>
      </c>
      <c r="E67" s="21" t="n"/>
    </row>
    <row r="68">
      <c r="A68" s="21" t="n"/>
      <c r="B68" s="21" t="n"/>
      <c r="C68" s="21" t="n"/>
      <c r="D68" s="5">
        <f>IF(A68="","",IF(COUNTIF(Desligados_RH!$A$2:$A$1000,A68)&gt;0,"SIM","não"))</f>
        <v/>
      </c>
      <c r="E68" s="21" t="n"/>
    </row>
    <row r="69">
      <c r="A69" s="21" t="n"/>
      <c r="B69" s="21" t="n"/>
      <c r="C69" s="21" t="n"/>
      <c r="D69" s="5">
        <f>IF(A69="","",IF(COUNTIF(Desligados_RH!$A$2:$A$1000,A69)&gt;0,"SIM","não"))</f>
        <v/>
      </c>
      <c r="E69" s="21" t="n"/>
    </row>
    <row r="70">
      <c r="A70" s="21" t="n"/>
      <c r="B70" s="21" t="n"/>
      <c r="C70" s="21" t="n"/>
      <c r="D70" s="5">
        <f>IF(A70="","",IF(COUNTIF(Desligados_RH!$A$2:$A$1000,A70)&gt;0,"SIM","não"))</f>
        <v/>
      </c>
      <c r="E70" s="21" t="n"/>
    </row>
    <row r="71">
      <c r="A71" s="21" t="n"/>
      <c r="B71" s="21" t="n"/>
      <c r="C71" s="21" t="n"/>
      <c r="D71" s="5">
        <f>IF(A71="","",IF(COUNTIF(Desligados_RH!$A$2:$A$1000,A71)&gt;0,"SIM","não"))</f>
        <v/>
      </c>
      <c r="E71" s="21" t="n"/>
    </row>
    <row r="72">
      <c r="A72" s="21" t="n"/>
      <c r="B72" s="21" t="n"/>
      <c r="C72" s="21" t="n"/>
      <c r="D72" s="5">
        <f>IF(A72="","",IF(COUNTIF(Desligados_RH!$A$2:$A$1000,A72)&gt;0,"SIM","não"))</f>
        <v/>
      </c>
      <c r="E72" s="21" t="n"/>
    </row>
    <row r="73">
      <c r="A73" s="21" t="n"/>
      <c r="B73" s="21" t="n"/>
      <c r="C73" s="21" t="n"/>
      <c r="D73" s="5">
        <f>IF(A73="","",IF(COUNTIF(Desligados_RH!$A$2:$A$1000,A73)&gt;0,"SIM","não"))</f>
        <v/>
      </c>
      <c r="E73" s="21" t="n"/>
    </row>
    <row r="74">
      <c r="A74" s="21" t="n"/>
      <c r="B74" s="21" t="n"/>
      <c r="C74" s="21" t="n"/>
      <c r="D74" s="5">
        <f>IF(A74="","",IF(COUNTIF(Desligados_RH!$A$2:$A$1000,A74)&gt;0,"SIM","não"))</f>
        <v/>
      </c>
      <c r="E74" s="21" t="n"/>
    </row>
    <row r="75">
      <c r="A75" s="21" t="n"/>
      <c r="B75" s="21" t="n"/>
      <c r="C75" s="21" t="n"/>
      <c r="D75" s="5">
        <f>IF(A75="","",IF(COUNTIF(Desligados_RH!$A$2:$A$1000,A75)&gt;0,"SIM","não"))</f>
        <v/>
      </c>
      <c r="E75" s="21" t="n"/>
    </row>
    <row r="76">
      <c r="A76" s="21" t="n"/>
      <c r="B76" s="21" t="n"/>
      <c r="C76" s="21" t="n"/>
      <c r="D76" s="5">
        <f>IF(A76="","",IF(COUNTIF(Desligados_RH!$A$2:$A$1000,A76)&gt;0,"SIM","não"))</f>
        <v/>
      </c>
      <c r="E76" s="21" t="n"/>
    </row>
    <row r="77">
      <c r="A77" s="21" t="n"/>
      <c r="B77" s="21" t="n"/>
      <c r="C77" s="21" t="n"/>
      <c r="D77" s="5">
        <f>IF(A77="","",IF(COUNTIF(Desligados_RH!$A$2:$A$1000,A77)&gt;0,"SIM","não"))</f>
        <v/>
      </c>
      <c r="E77" s="21" t="n"/>
    </row>
    <row r="78">
      <c r="A78" s="21" t="n"/>
      <c r="B78" s="21" t="n"/>
      <c r="C78" s="21" t="n"/>
      <c r="D78" s="5">
        <f>IF(A78="","",IF(COUNTIF(Desligados_RH!$A$2:$A$1000,A78)&gt;0,"SIM","não"))</f>
        <v/>
      </c>
      <c r="E78" s="21" t="n"/>
    </row>
    <row r="79">
      <c r="A79" s="21" t="n"/>
      <c r="B79" s="21" t="n"/>
      <c r="C79" s="21" t="n"/>
      <c r="D79" s="5">
        <f>IF(A79="","",IF(COUNTIF(Desligados_RH!$A$2:$A$1000,A79)&gt;0,"SIM","não"))</f>
        <v/>
      </c>
      <c r="E79" s="21" t="n"/>
    </row>
    <row r="80">
      <c r="A80" s="21" t="n"/>
      <c r="B80" s="21" t="n"/>
      <c r="C80" s="21" t="n"/>
      <c r="D80" s="5">
        <f>IF(A80="","",IF(COUNTIF(Desligados_RH!$A$2:$A$1000,A80)&gt;0,"SIM","não"))</f>
        <v/>
      </c>
      <c r="E80" s="21" t="n"/>
    </row>
    <row r="81">
      <c r="A81" s="21" t="n"/>
      <c r="B81" s="21" t="n"/>
      <c r="C81" s="21" t="n"/>
      <c r="D81" s="5">
        <f>IF(A81="","",IF(COUNTIF(Desligados_RH!$A$2:$A$1000,A81)&gt;0,"SIM","não"))</f>
        <v/>
      </c>
      <c r="E81" s="21" t="n"/>
    </row>
    <row r="82">
      <c r="A82" s="21" t="n"/>
      <c r="B82" s="21" t="n"/>
      <c r="C82" s="21" t="n"/>
      <c r="D82" s="5">
        <f>IF(A82="","",IF(COUNTIF(Desligados_RH!$A$2:$A$1000,A82)&gt;0,"SIM","não"))</f>
        <v/>
      </c>
      <c r="E82" s="21" t="n"/>
    </row>
    <row r="83">
      <c r="A83" s="21" t="n"/>
      <c r="B83" s="21" t="n"/>
      <c r="C83" s="21" t="n"/>
      <c r="D83" s="5">
        <f>IF(A83="","",IF(COUNTIF(Desligados_RH!$A$2:$A$1000,A83)&gt;0,"SIM","não"))</f>
        <v/>
      </c>
      <c r="E83" s="21" t="n"/>
    </row>
    <row r="84">
      <c r="A84" s="21" t="n"/>
      <c r="B84" s="21" t="n"/>
      <c r="C84" s="21" t="n"/>
      <c r="D84" s="5">
        <f>IF(A84="","",IF(COUNTIF(Desligados_RH!$A$2:$A$1000,A84)&gt;0,"SIM","não"))</f>
        <v/>
      </c>
      <c r="E84" s="21" t="n"/>
    </row>
    <row r="85">
      <c r="A85" s="21" t="n"/>
      <c r="B85" s="21" t="n"/>
      <c r="C85" s="21" t="n"/>
      <c r="D85" s="5">
        <f>IF(A85="","",IF(COUNTIF(Desligados_RH!$A$2:$A$1000,A85)&gt;0,"SIM","não"))</f>
        <v/>
      </c>
      <c r="E85" s="21" t="n"/>
    </row>
    <row r="86">
      <c r="A86" s="21" t="n"/>
      <c r="B86" s="21" t="n"/>
      <c r="C86" s="21" t="n"/>
      <c r="D86" s="5">
        <f>IF(A86="","",IF(COUNTIF(Desligados_RH!$A$2:$A$1000,A86)&gt;0,"SIM","não"))</f>
        <v/>
      </c>
      <c r="E86" s="21" t="n"/>
    </row>
    <row r="87">
      <c r="A87" s="21" t="n"/>
      <c r="B87" s="21" t="n"/>
      <c r="C87" s="21" t="n"/>
      <c r="D87" s="5">
        <f>IF(A87="","",IF(COUNTIF(Desligados_RH!$A$2:$A$1000,A87)&gt;0,"SIM","não"))</f>
        <v/>
      </c>
      <c r="E87" s="21" t="n"/>
    </row>
    <row r="88">
      <c r="A88" s="21" t="n"/>
      <c r="B88" s="21" t="n"/>
      <c r="C88" s="21" t="n"/>
      <c r="D88" s="5">
        <f>IF(A88="","",IF(COUNTIF(Desligados_RH!$A$2:$A$1000,A88)&gt;0,"SIM","não"))</f>
        <v/>
      </c>
      <c r="E88" s="21" t="n"/>
    </row>
    <row r="89">
      <c r="A89" s="21" t="n"/>
      <c r="B89" s="21" t="n"/>
      <c r="C89" s="21" t="n"/>
      <c r="D89" s="5">
        <f>IF(A89="","",IF(COUNTIF(Desligados_RH!$A$2:$A$1000,A89)&gt;0,"SIM","não"))</f>
        <v/>
      </c>
      <c r="E89" s="21" t="n"/>
    </row>
    <row r="90">
      <c r="A90" s="21" t="n"/>
      <c r="B90" s="21" t="n"/>
      <c r="C90" s="21" t="n"/>
      <c r="D90" s="5">
        <f>IF(A90="","",IF(COUNTIF(Desligados_RH!$A$2:$A$1000,A90)&gt;0,"SIM","não"))</f>
        <v/>
      </c>
      <c r="E90" s="21" t="n"/>
    </row>
    <row r="91">
      <c r="A91" s="21" t="n"/>
      <c r="B91" s="21" t="n"/>
      <c r="C91" s="21" t="n"/>
      <c r="D91" s="5">
        <f>IF(A91="","",IF(COUNTIF(Desligados_RH!$A$2:$A$1000,A91)&gt;0,"SIM","não"))</f>
        <v/>
      </c>
      <c r="E91" s="21" t="n"/>
    </row>
    <row r="92">
      <c r="A92" s="21" t="n"/>
      <c r="B92" s="21" t="n"/>
      <c r="C92" s="21" t="n"/>
      <c r="D92" s="5">
        <f>IF(A92="","",IF(COUNTIF(Desligados_RH!$A$2:$A$1000,A92)&gt;0,"SIM","não"))</f>
        <v/>
      </c>
      <c r="E92" s="21" t="n"/>
    </row>
    <row r="93">
      <c r="A93" s="21" t="n"/>
      <c r="B93" s="21" t="n"/>
      <c r="C93" s="21" t="n"/>
      <c r="D93" s="5">
        <f>IF(A93="","",IF(COUNTIF(Desligados_RH!$A$2:$A$1000,A93)&gt;0,"SIM","não"))</f>
        <v/>
      </c>
      <c r="E93" s="21" t="n"/>
    </row>
    <row r="94">
      <c r="A94" s="21" t="n"/>
      <c r="B94" s="21" t="n"/>
      <c r="C94" s="21" t="n"/>
      <c r="D94" s="5">
        <f>IF(A94="","",IF(COUNTIF(Desligados_RH!$A$2:$A$1000,A94)&gt;0,"SIM","não"))</f>
        <v/>
      </c>
      <c r="E94" s="21" t="n"/>
    </row>
    <row r="95">
      <c r="A95" s="21" t="n"/>
      <c r="B95" s="21" t="n"/>
      <c r="C95" s="21" t="n"/>
      <c r="D95" s="5">
        <f>IF(A95="","",IF(COUNTIF(Desligados_RH!$A$2:$A$1000,A95)&gt;0,"SIM","não"))</f>
        <v/>
      </c>
      <c r="E95" s="21" t="n"/>
    </row>
    <row r="96">
      <c r="A96" s="21" t="n"/>
      <c r="B96" s="21" t="n"/>
      <c r="C96" s="21" t="n"/>
      <c r="D96" s="5">
        <f>IF(A96="","",IF(COUNTIF(Desligados_RH!$A$2:$A$1000,A96)&gt;0,"SIM","não"))</f>
        <v/>
      </c>
      <c r="E96" s="21" t="n"/>
    </row>
    <row r="97">
      <c r="A97" s="21" t="n"/>
      <c r="B97" s="21" t="n"/>
      <c r="C97" s="21" t="n"/>
      <c r="D97" s="5">
        <f>IF(A97="","",IF(COUNTIF(Desligados_RH!$A$2:$A$1000,A97)&gt;0,"SIM","não"))</f>
        <v/>
      </c>
      <c r="E97" s="21" t="n"/>
    </row>
    <row r="98">
      <c r="A98" s="21" t="n"/>
      <c r="B98" s="21" t="n"/>
      <c r="C98" s="21" t="n"/>
      <c r="D98" s="5">
        <f>IF(A98="","",IF(COUNTIF(Desligados_RH!$A$2:$A$1000,A98)&gt;0,"SIM","não"))</f>
        <v/>
      </c>
      <c r="E98" s="21" t="n"/>
    </row>
    <row r="99">
      <c r="A99" s="21" t="n"/>
      <c r="B99" s="21" t="n"/>
      <c r="C99" s="21" t="n"/>
      <c r="D99" s="5">
        <f>IF(A99="","",IF(COUNTIF(Desligados_RH!$A$2:$A$1000,A99)&gt;0,"SIM","não"))</f>
        <v/>
      </c>
      <c r="E99" s="21" t="n"/>
    </row>
    <row r="100">
      <c r="A100" s="21" t="n"/>
      <c r="B100" s="21" t="n"/>
      <c r="C100" s="21" t="n"/>
      <c r="D100" s="5">
        <f>IF(A100="","",IF(COUNTIF(Desligados_RH!$A$2:$A$1000,A100)&gt;0,"SIM","não"))</f>
        <v/>
      </c>
      <c r="E100" s="21" t="n"/>
    </row>
    <row r="101">
      <c r="A101" s="21" t="n"/>
      <c r="B101" s="21" t="n"/>
      <c r="C101" s="21" t="n"/>
      <c r="D101" s="5">
        <f>IF(A101="","",IF(COUNTIF(Desligados_RH!$A$2:$A$1000,A101)&gt;0,"SIM","não"))</f>
        <v/>
      </c>
      <c r="E101" s="21" t="n"/>
    </row>
    <row r="102">
      <c r="A102" s="21" t="n"/>
      <c r="B102" s="21" t="n"/>
      <c r="C102" s="21" t="n"/>
      <c r="D102" s="5">
        <f>IF(A102="","",IF(COUNTIF(Desligados_RH!$A$2:$A$1000,A102)&gt;0,"SIM","não"))</f>
        <v/>
      </c>
      <c r="E102" s="21" t="n"/>
    </row>
    <row r="103">
      <c r="A103" s="21" t="n"/>
      <c r="B103" s="21" t="n"/>
      <c r="C103" s="21" t="n"/>
      <c r="D103" s="5">
        <f>IF(A103="","",IF(COUNTIF(Desligados_RH!$A$2:$A$1000,A103)&gt;0,"SIM","não"))</f>
        <v/>
      </c>
      <c r="E103" s="21" t="n"/>
    </row>
    <row r="104">
      <c r="A104" s="21" t="n"/>
      <c r="B104" s="21" t="n"/>
      <c r="C104" s="21" t="n"/>
      <c r="D104" s="5">
        <f>IF(A104="","",IF(COUNTIF(Desligados_RH!$A$2:$A$1000,A104)&gt;0,"SIM","não"))</f>
        <v/>
      </c>
      <c r="E104" s="21" t="n"/>
    </row>
    <row r="105">
      <c r="A105" s="21" t="n"/>
      <c r="B105" s="21" t="n"/>
      <c r="C105" s="21" t="n"/>
      <c r="D105" s="5">
        <f>IF(A105="","",IF(COUNTIF(Desligados_RH!$A$2:$A$1000,A105)&gt;0,"SIM","não"))</f>
        <v/>
      </c>
      <c r="E105" s="21" t="n"/>
    </row>
    <row r="106">
      <c r="A106" s="21" t="n"/>
      <c r="B106" s="21" t="n"/>
      <c r="C106" s="21" t="n"/>
      <c r="D106" s="5">
        <f>IF(A106="","",IF(COUNTIF(Desligados_RH!$A$2:$A$1000,A106)&gt;0,"SIM","não"))</f>
        <v/>
      </c>
      <c r="E106" s="21" t="n"/>
    </row>
    <row r="107">
      <c r="A107" s="21" t="n"/>
      <c r="B107" s="21" t="n"/>
      <c r="C107" s="21" t="n"/>
      <c r="D107" s="5">
        <f>IF(A107="","",IF(COUNTIF(Desligados_RH!$A$2:$A$1000,A107)&gt;0,"SIM","não"))</f>
        <v/>
      </c>
      <c r="E107" s="21" t="n"/>
    </row>
    <row r="108">
      <c r="A108" s="21" t="n"/>
      <c r="B108" s="21" t="n"/>
      <c r="C108" s="21" t="n"/>
      <c r="D108" s="5">
        <f>IF(A108="","",IF(COUNTIF(Desligados_RH!$A$2:$A$1000,A108)&gt;0,"SIM","não"))</f>
        <v/>
      </c>
      <c r="E108" s="21" t="n"/>
    </row>
    <row r="109">
      <c r="A109" s="21" t="n"/>
      <c r="B109" s="21" t="n"/>
      <c r="C109" s="21" t="n"/>
      <c r="D109" s="5">
        <f>IF(A109="","",IF(COUNTIF(Desligados_RH!$A$2:$A$1000,A109)&gt;0,"SIM","não"))</f>
        <v/>
      </c>
      <c r="E109" s="21" t="n"/>
    </row>
    <row r="110">
      <c r="A110" s="21" t="n"/>
      <c r="B110" s="21" t="n"/>
      <c r="C110" s="21" t="n"/>
      <c r="D110" s="5">
        <f>IF(A110="","",IF(COUNTIF(Desligados_RH!$A$2:$A$1000,A110)&gt;0,"SIM","não"))</f>
        <v/>
      </c>
      <c r="E110" s="21" t="n"/>
    </row>
    <row r="111">
      <c r="A111" s="21" t="n"/>
      <c r="B111" s="21" t="n"/>
      <c r="C111" s="21" t="n"/>
      <c r="D111" s="5">
        <f>IF(A111="","",IF(COUNTIF(Desligados_RH!$A$2:$A$1000,A111)&gt;0,"SIM","não"))</f>
        <v/>
      </c>
      <c r="E111" s="21" t="n"/>
    </row>
    <row r="112">
      <c r="A112" s="21" t="n"/>
      <c r="B112" s="21" t="n"/>
      <c r="C112" s="21" t="n"/>
      <c r="D112" s="5">
        <f>IF(A112="","",IF(COUNTIF(Desligados_RH!$A$2:$A$1000,A112)&gt;0,"SIM","não"))</f>
        <v/>
      </c>
      <c r="E112" s="21" t="n"/>
    </row>
    <row r="113">
      <c r="A113" s="21" t="n"/>
      <c r="B113" s="21" t="n"/>
      <c r="C113" s="21" t="n"/>
      <c r="D113" s="5">
        <f>IF(A113="","",IF(COUNTIF(Desligados_RH!$A$2:$A$1000,A113)&gt;0,"SIM","não"))</f>
        <v/>
      </c>
      <c r="E113" s="21" t="n"/>
    </row>
    <row r="114">
      <c r="A114" s="21" t="n"/>
      <c r="B114" s="21" t="n"/>
      <c r="C114" s="21" t="n"/>
      <c r="D114" s="5">
        <f>IF(A114="","",IF(COUNTIF(Desligados_RH!$A$2:$A$1000,A114)&gt;0,"SIM","não"))</f>
        <v/>
      </c>
      <c r="E114" s="21" t="n"/>
    </row>
    <row r="115">
      <c r="A115" s="21" t="n"/>
      <c r="B115" s="21" t="n"/>
      <c r="C115" s="21" t="n"/>
      <c r="D115" s="5">
        <f>IF(A115="","",IF(COUNTIF(Desligados_RH!$A$2:$A$1000,A115)&gt;0,"SIM","não"))</f>
        <v/>
      </c>
      <c r="E115" s="21" t="n"/>
    </row>
    <row r="116">
      <c r="A116" s="21" t="n"/>
      <c r="B116" s="21" t="n"/>
      <c r="C116" s="21" t="n"/>
      <c r="D116" s="5">
        <f>IF(A116="","",IF(COUNTIF(Desligados_RH!$A$2:$A$1000,A116)&gt;0,"SIM","não"))</f>
        <v/>
      </c>
      <c r="E116" s="21" t="n"/>
    </row>
    <row r="117">
      <c r="A117" s="21" t="n"/>
      <c r="B117" s="21" t="n"/>
      <c r="C117" s="21" t="n"/>
      <c r="D117" s="5">
        <f>IF(A117="","",IF(COUNTIF(Desligados_RH!$A$2:$A$1000,A117)&gt;0,"SIM","não"))</f>
        <v/>
      </c>
      <c r="E117" s="21" t="n"/>
    </row>
    <row r="118">
      <c r="A118" s="21" t="n"/>
      <c r="B118" s="21" t="n"/>
      <c r="C118" s="21" t="n"/>
      <c r="D118" s="5">
        <f>IF(A118="","",IF(COUNTIF(Desligados_RH!$A$2:$A$1000,A118)&gt;0,"SIM","não"))</f>
        <v/>
      </c>
      <c r="E118" s="21" t="n"/>
    </row>
    <row r="119">
      <c r="A119" s="21" t="n"/>
      <c r="B119" s="21" t="n"/>
      <c r="C119" s="21" t="n"/>
      <c r="D119" s="5">
        <f>IF(A119="","",IF(COUNTIF(Desligados_RH!$A$2:$A$1000,A119)&gt;0,"SIM","não"))</f>
        <v/>
      </c>
      <c r="E119" s="21" t="n"/>
    </row>
    <row r="120">
      <c r="A120" s="21" t="n"/>
      <c r="B120" s="21" t="n"/>
      <c r="C120" s="21" t="n"/>
      <c r="D120" s="5">
        <f>IF(A120="","",IF(COUNTIF(Desligados_RH!$A$2:$A$1000,A120)&gt;0,"SIM","não"))</f>
        <v/>
      </c>
      <c r="E120" s="21" t="n"/>
    </row>
    <row r="121">
      <c r="A121" s="21" t="n"/>
      <c r="B121" s="21" t="n"/>
      <c r="C121" s="21" t="n"/>
      <c r="D121" s="5">
        <f>IF(A121="","",IF(COUNTIF(Desligados_RH!$A$2:$A$1000,A121)&gt;0,"SIM","não"))</f>
        <v/>
      </c>
      <c r="E121" s="21" t="n"/>
    </row>
    <row r="122">
      <c r="A122" s="21" t="n"/>
      <c r="B122" s="21" t="n"/>
      <c r="C122" s="21" t="n"/>
      <c r="D122" s="5">
        <f>IF(A122="","",IF(COUNTIF(Desligados_RH!$A$2:$A$1000,A122)&gt;0,"SIM","não"))</f>
        <v/>
      </c>
      <c r="E122" s="21" t="n"/>
    </row>
    <row r="123">
      <c r="A123" s="21" t="n"/>
      <c r="B123" s="21" t="n"/>
      <c r="C123" s="21" t="n"/>
      <c r="D123" s="5">
        <f>IF(A123="","",IF(COUNTIF(Desligados_RH!$A$2:$A$1000,A123)&gt;0,"SIM","não"))</f>
        <v/>
      </c>
      <c r="E123" s="21" t="n"/>
    </row>
    <row r="124">
      <c r="A124" s="21" t="n"/>
      <c r="B124" s="21" t="n"/>
      <c r="C124" s="21" t="n"/>
      <c r="D124" s="5">
        <f>IF(A124="","",IF(COUNTIF(Desligados_RH!$A$2:$A$1000,A124)&gt;0,"SIM","não"))</f>
        <v/>
      </c>
      <c r="E124" s="21" t="n"/>
    </row>
    <row r="125">
      <c r="A125" s="21" t="n"/>
      <c r="B125" s="21" t="n"/>
      <c r="C125" s="21" t="n"/>
      <c r="D125" s="5">
        <f>IF(A125="","",IF(COUNTIF(Desligados_RH!$A$2:$A$1000,A125)&gt;0,"SIM","não"))</f>
        <v/>
      </c>
      <c r="E125" s="21" t="n"/>
    </row>
    <row r="126">
      <c r="A126" s="21" t="n"/>
      <c r="B126" s="21" t="n"/>
      <c r="C126" s="21" t="n"/>
      <c r="D126" s="5">
        <f>IF(A126="","",IF(COUNTIF(Desligados_RH!$A$2:$A$1000,A126)&gt;0,"SIM","não"))</f>
        <v/>
      </c>
      <c r="E126" s="21" t="n"/>
    </row>
    <row r="127">
      <c r="A127" s="21" t="n"/>
      <c r="B127" s="21" t="n"/>
      <c r="C127" s="21" t="n"/>
      <c r="D127" s="5">
        <f>IF(A127="","",IF(COUNTIF(Desligados_RH!$A$2:$A$1000,A127)&gt;0,"SIM","não"))</f>
        <v/>
      </c>
      <c r="E127" s="21" t="n"/>
    </row>
    <row r="128">
      <c r="A128" s="21" t="n"/>
      <c r="B128" s="21" t="n"/>
      <c r="C128" s="21" t="n"/>
      <c r="D128" s="5">
        <f>IF(A128="","",IF(COUNTIF(Desligados_RH!$A$2:$A$1000,A128)&gt;0,"SIM","não"))</f>
        <v/>
      </c>
      <c r="E128" s="21" t="n"/>
    </row>
    <row r="129">
      <c r="A129" s="21" t="n"/>
      <c r="B129" s="21" t="n"/>
      <c r="C129" s="21" t="n"/>
      <c r="D129" s="5">
        <f>IF(A129="","",IF(COUNTIF(Desligados_RH!$A$2:$A$1000,A129)&gt;0,"SIM","não"))</f>
        <v/>
      </c>
      <c r="E129" s="21" t="n"/>
    </row>
    <row r="130">
      <c r="A130" s="21" t="n"/>
      <c r="B130" s="21" t="n"/>
      <c r="C130" s="21" t="n"/>
      <c r="D130" s="5">
        <f>IF(A130="","",IF(COUNTIF(Desligados_RH!$A$2:$A$1000,A130)&gt;0,"SIM","não"))</f>
        <v/>
      </c>
      <c r="E130" s="21" t="n"/>
    </row>
    <row r="131">
      <c r="A131" s="21" t="n"/>
      <c r="B131" s="21" t="n"/>
      <c r="C131" s="21" t="n"/>
      <c r="D131" s="5">
        <f>IF(A131="","",IF(COUNTIF(Desligados_RH!$A$2:$A$1000,A131)&gt;0,"SIM","não"))</f>
        <v/>
      </c>
      <c r="E131" s="21" t="n"/>
    </row>
    <row r="132">
      <c r="A132" s="21" t="n"/>
      <c r="B132" s="21" t="n"/>
      <c r="C132" s="21" t="n"/>
      <c r="D132" s="5">
        <f>IF(A132="","",IF(COUNTIF(Desligados_RH!$A$2:$A$1000,A132)&gt;0,"SIM","não"))</f>
        <v/>
      </c>
      <c r="E132" s="21" t="n"/>
    </row>
    <row r="133">
      <c r="A133" s="21" t="n"/>
      <c r="B133" s="21" t="n"/>
      <c r="C133" s="21" t="n"/>
      <c r="D133" s="5">
        <f>IF(A133="","",IF(COUNTIF(Desligados_RH!$A$2:$A$1000,A133)&gt;0,"SIM","não"))</f>
        <v/>
      </c>
      <c r="E133" s="21" t="n"/>
    </row>
    <row r="134">
      <c r="A134" s="21" t="n"/>
      <c r="B134" s="21" t="n"/>
      <c r="C134" s="21" t="n"/>
      <c r="D134" s="5">
        <f>IF(A134="","",IF(COUNTIF(Desligados_RH!$A$2:$A$1000,A134)&gt;0,"SIM","não"))</f>
        <v/>
      </c>
      <c r="E134" s="21" t="n"/>
    </row>
    <row r="135">
      <c r="A135" s="21" t="n"/>
      <c r="B135" s="21" t="n"/>
      <c r="C135" s="21" t="n"/>
      <c r="D135" s="5">
        <f>IF(A135="","",IF(COUNTIF(Desligados_RH!$A$2:$A$1000,A135)&gt;0,"SIM","não"))</f>
        <v/>
      </c>
      <c r="E135" s="21" t="n"/>
    </row>
    <row r="136">
      <c r="A136" s="21" t="n"/>
      <c r="B136" s="21" t="n"/>
      <c r="C136" s="21" t="n"/>
      <c r="D136" s="5">
        <f>IF(A136="","",IF(COUNTIF(Desligados_RH!$A$2:$A$1000,A136)&gt;0,"SIM","não"))</f>
        <v/>
      </c>
      <c r="E136" s="21" t="n"/>
    </row>
    <row r="137">
      <c r="A137" s="21" t="n"/>
      <c r="B137" s="21" t="n"/>
      <c r="C137" s="21" t="n"/>
      <c r="D137" s="5">
        <f>IF(A137="","",IF(COUNTIF(Desligados_RH!$A$2:$A$1000,A137)&gt;0,"SIM","não"))</f>
        <v/>
      </c>
      <c r="E137" s="21" t="n"/>
    </row>
    <row r="138">
      <c r="A138" s="21" t="n"/>
      <c r="B138" s="21" t="n"/>
      <c r="C138" s="21" t="n"/>
      <c r="D138" s="5">
        <f>IF(A138="","",IF(COUNTIF(Desligados_RH!$A$2:$A$1000,A138)&gt;0,"SIM","não"))</f>
        <v/>
      </c>
      <c r="E138" s="21" t="n"/>
    </row>
    <row r="139">
      <c r="A139" s="21" t="n"/>
      <c r="B139" s="21" t="n"/>
      <c r="C139" s="21" t="n"/>
      <c r="D139" s="5">
        <f>IF(A139="","",IF(COUNTIF(Desligados_RH!$A$2:$A$1000,A139)&gt;0,"SIM","não"))</f>
        <v/>
      </c>
      <c r="E139" s="21" t="n"/>
    </row>
    <row r="140">
      <c r="A140" s="21" t="n"/>
      <c r="B140" s="21" t="n"/>
      <c r="C140" s="21" t="n"/>
      <c r="D140" s="5">
        <f>IF(A140="","",IF(COUNTIF(Desligados_RH!$A$2:$A$1000,A140)&gt;0,"SIM","não"))</f>
        <v/>
      </c>
      <c r="E140" s="21" t="n"/>
    </row>
    <row r="141">
      <c r="A141" s="21" t="n"/>
      <c r="B141" s="21" t="n"/>
      <c r="C141" s="21" t="n"/>
      <c r="D141" s="5">
        <f>IF(A141="","",IF(COUNTIF(Desligados_RH!$A$2:$A$1000,A141)&gt;0,"SIM","não"))</f>
        <v/>
      </c>
      <c r="E141" s="21" t="n"/>
    </row>
    <row r="142">
      <c r="A142" s="21" t="n"/>
      <c r="B142" s="21" t="n"/>
      <c r="C142" s="21" t="n"/>
      <c r="D142" s="5">
        <f>IF(A142="","",IF(COUNTIF(Desligados_RH!$A$2:$A$1000,A142)&gt;0,"SIM","não"))</f>
        <v/>
      </c>
      <c r="E142" s="21" t="n"/>
    </row>
    <row r="143">
      <c r="A143" s="21" t="n"/>
      <c r="B143" s="21" t="n"/>
      <c r="C143" s="21" t="n"/>
      <c r="D143" s="5">
        <f>IF(A143="","",IF(COUNTIF(Desligados_RH!$A$2:$A$1000,A143)&gt;0,"SIM","não"))</f>
        <v/>
      </c>
      <c r="E143" s="21" t="n"/>
    </row>
    <row r="144">
      <c r="A144" s="21" t="n"/>
      <c r="B144" s="21" t="n"/>
      <c r="C144" s="21" t="n"/>
      <c r="D144" s="5">
        <f>IF(A144="","",IF(COUNTIF(Desligados_RH!$A$2:$A$1000,A144)&gt;0,"SIM","não"))</f>
        <v/>
      </c>
      <c r="E144" s="21" t="n"/>
    </row>
    <row r="145">
      <c r="A145" s="21" t="n"/>
      <c r="B145" s="21" t="n"/>
      <c r="C145" s="21" t="n"/>
      <c r="D145" s="5">
        <f>IF(A145="","",IF(COUNTIF(Desligados_RH!$A$2:$A$1000,A145)&gt;0,"SIM","não"))</f>
        <v/>
      </c>
      <c r="E145" s="21" t="n"/>
    </row>
    <row r="146">
      <c r="A146" s="21" t="n"/>
      <c r="B146" s="21" t="n"/>
      <c r="C146" s="21" t="n"/>
      <c r="D146" s="5">
        <f>IF(A146="","",IF(COUNTIF(Desligados_RH!$A$2:$A$1000,A146)&gt;0,"SIM","não"))</f>
        <v/>
      </c>
      <c r="E146" s="21" t="n"/>
    </row>
    <row r="147">
      <c r="A147" s="21" t="n"/>
      <c r="B147" s="21" t="n"/>
      <c r="C147" s="21" t="n"/>
      <c r="D147" s="5">
        <f>IF(A147="","",IF(COUNTIF(Desligados_RH!$A$2:$A$1000,A147)&gt;0,"SIM","não"))</f>
        <v/>
      </c>
      <c r="E147" s="21" t="n"/>
    </row>
    <row r="148">
      <c r="A148" s="21" t="n"/>
      <c r="B148" s="21" t="n"/>
      <c r="C148" s="21" t="n"/>
      <c r="D148" s="5">
        <f>IF(A148="","",IF(COUNTIF(Desligados_RH!$A$2:$A$1000,A148)&gt;0,"SIM","não"))</f>
        <v/>
      </c>
      <c r="E148" s="21" t="n"/>
    </row>
    <row r="149">
      <c r="A149" s="21" t="n"/>
      <c r="B149" s="21" t="n"/>
      <c r="C149" s="21" t="n"/>
      <c r="D149" s="5">
        <f>IF(A149="","",IF(COUNTIF(Desligados_RH!$A$2:$A$1000,A149)&gt;0,"SIM","não"))</f>
        <v/>
      </c>
      <c r="E149" s="21" t="n"/>
    </row>
    <row r="150">
      <c r="A150" s="21" t="n"/>
      <c r="B150" s="21" t="n"/>
      <c r="C150" s="21" t="n"/>
      <c r="D150" s="5">
        <f>IF(A150="","",IF(COUNTIF(Desligados_RH!$A$2:$A$1000,A150)&gt;0,"SIM","não"))</f>
        <v/>
      </c>
      <c r="E150" s="21" t="n"/>
    </row>
    <row r="151">
      <c r="A151" s="21" t="n"/>
      <c r="B151" s="21" t="n"/>
      <c r="C151" s="21" t="n"/>
      <c r="D151" s="5">
        <f>IF(A151="","",IF(COUNTIF(Desligados_RH!$A$2:$A$1000,A151)&gt;0,"SIM","não"))</f>
        <v/>
      </c>
      <c r="E151" s="21" t="n"/>
    </row>
    <row r="152">
      <c r="A152" s="21" t="n"/>
      <c r="B152" s="21" t="n"/>
      <c r="C152" s="21" t="n"/>
      <c r="D152" s="5">
        <f>IF(A152="","",IF(COUNTIF(Desligados_RH!$A$2:$A$1000,A152)&gt;0,"SIM","não"))</f>
        <v/>
      </c>
      <c r="E152" s="21" t="n"/>
    </row>
    <row r="153">
      <c r="A153" s="21" t="n"/>
      <c r="B153" s="21" t="n"/>
      <c r="C153" s="21" t="n"/>
      <c r="D153" s="5">
        <f>IF(A153="","",IF(COUNTIF(Desligados_RH!$A$2:$A$1000,A153)&gt;0,"SIM","não"))</f>
        <v/>
      </c>
      <c r="E153" s="21" t="n"/>
    </row>
    <row r="154">
      <c r="A154" s="21" t="n"/>
      <c r="B154" s="21" t="n"/>
      <c r="C154" s="21" t="n"/>
      <c r="D154" s="5">
        <f>IF(A154="","",IF(COUNTIF(Desligados_RH!$A$2:$A$1000,A154)&gt;0,"SIM","não"))</f>
        <v/>
      </c>
      <c r="E154" s="21" t="n"/>
    </row>
    <row r="155">
      <c r="A155" s="21" t="n"/>
      <c r="B155" s="21" t="n"/>
      <c r="C155" s="21" t="n"/>
      <c r="D155" s="5">
        <f>IF(A155="","",IF(COUNTIF(Desligados_RH!$A$2:$A$1000,A155)&gt;0,"SIM","não"))</f>
        <v/>
      </c>
      <c r="E155" s="21" t="n"/>
    </row>
    <row r="156">
      <c r="A156" s="21" t="n"/>
      <c r="B156" s="21" t="n"/>
      <c r="C156" s="21" t="n"/>
      <c r="D156" s="5">
        <f>IF(A156="","",IF(COUNTIF(Desligados_RH!$A$2:$A$1000,A156)&gt;0,"SIM","não"))</f>
        <v/>
      </c>
      <c r="E156" s="21" t="n"/>
    </row>
    <row r="157">
      <c r="A157" s="21" t="n"/>
      <c r="B157" s="21" t="n"/>
      <c r="C157" s="21" t="n"/>
      <c r="D157" s="5">
        <f>IF(A157="","",IF(COUNTIF(Desligados_RH!$A$2:$A$1000,A157)&gt;0,"SIM","não"))</f>
        <v/>
      </c>
      <c r="E157" s="21" t="n"/>
    </row>
    <row r="158">
      <c r="A158" s="21" t="n"/>
      <c r="B158" s="21" t="n"/>
      <c r="C158" s="21" t="n"/>
      <c r="D158" s="5">
        <f>IF(A158="","",IF(COUNTIF(Desligados_RH!$A$2:$A$1000,A158)&gt;0,"SIM","não"))</f>
        <v/>
      </c>
      <c r="E158" s="21" t="n"/>
    </row>
    <row r="159">
      <c r="A159" s="21" t="n"/>
      <c r="B159" s="21" t="n"/>
      <c r="C159" s="21" t="n"/>
      <c r="D159" s="5">
        <f>IF(A159="","",IF(COUNTIF(Desligados_RH!$A$2:$A$1000,A159)&gt;0,"SIM","não"))</f>
        <v/>
      </c>
      <c r="E159" s="21" t="n"/>
    </row>
    <row r="160">
      <c r="A160" s="21" t="n"/>
      <c r="B160" s="21" t="n"/>
      <c r="C160" s="21" t="n"/>
      <c r="D160" s="5">
        <f>IF(A160="","",IF(COUNTIF(Desligados_RH!$A$2:$A$1000,A160)&gt;0,"SIM","não"))</f>
        <v/>
      </c>
      <c r="E160" s="21" t="n"/>
    </row>
    <row r="161">
      <c r="A161" s="21" t="n"/>
      <c r="B161" s="21" t="n"/>
      <c r="C161" s="21" t="n"/>
      <c r="D161" s="5">
        <f>IF(A161="","",IF(COUNTIF(Desligados_RH!$A$2:$A$1000,A161)&gt;0,"SIM","não"))</f>
        <v/>
      </c>
      <c r="E161" s="21" t="n"/>
    </row>
    <row r="162">
      <c r="A162" s="21" t="n"/>
      <c r="B162" s="21" t="n"/>
      <c r="C162" s="21" t="n"/>
      <c r="D162" s="5">
        <f>IF(A162="","",IF(COUNTIF(Desligados_RH!$A$2:$A$1000,A162)&gt;0,"SIM","não"))</f>
        <v/>
      </c>
      <c r="E162" s="21" t="n"/>
    </row>
    <row r="163">
      <c r="A163" s="21" t="n"/>
      <c r="B163" s="21" t="n"/>
      <c r="C163" s="21" t="n"/>
      <c r="D163" s="5">
        <f>IF(A163="","",IF(COUNTIF(Desligados_RH!$A$2:$A$1000,A163)&gt;0,"SIM","não"))</f>
        <v/>
      </c>
      <c r="E163" s="21" t="n"/>
    </row>
    <row r="164">
      <c r="A164" s="21" t="n"/>
      <c r="B164" s="21" t="n"/>
      <c r="C164" s="21" t="n"/>
      <c r="D164" s="5">
        <f>IF(A164="","",IF(COUNTIF(Desligados_RH!$A$2:$A$1000,A164)&gt;0,"SIM","não"))</f>
        <v/>
      </c>
      <c r="E164" s="21" t="n"/>
    </row>
    <row r="165">
      <c r="A165" s="21" t="n"/>
      <c r="B165" s="21" t="n"/>
      <c r="C165" s="21" t="n"/>
      <c r="D165" s="5">
        <f>IF(A165="","",IF(COUNTIF(Desligados_RH!$A$2:$A$1000,A165)&gt;0,"SIM","não"))</f>
        <v/>
      </c>
      <c r="E165" s="21" t="n"/>
    </row>
    <row r="166">
      <c r="A166" s="21" t="n"/>
      <c r="B166" s="21" t="n"/>
      <c r="C166" s="21" t="n"/>
      <c r="D166" s="5">
        <f>IF(A166="","",IF(COUNTIF(Desligados_RH!$A$2:$A$1000,A166)&gt;0,"SIM","não"))</f>
        <v/>
      </c>
      <c r="E166" s="21" t="n"/>
    </row>
    <row r="167">
      <c r="A167" s="21" t="n"/>
      <c r="B167" s="21" t="n"/>
      <c r="C167" s="21" t="n"/>
      <c r="D167" s="5">
        <f>IF(A167="","",IF(COUNTIF(Desligados_RH!$A$2:$A$1000,A167)&gt;0,"SIM","não"))</f>
        <v/>
      </c>
      <c r="E167" s="21" t="n"/>
    </row>
    <row r="168">
      <c r="A168" s="21" t="n"/>
      <c r="B168" s="21" t="n"/>
      <c r="C168" s="21" t="n"/>
      <c r="D168" s="5">
        <f>IF(A168="","",IF(COUNTIF(Desligados_RH!$A$2:$A$1000,A168)&gt;0,"SIM","não"))</f>
        <v/>
      </c>
      <c r="E168" s="21" t="n"/>
    </row>
    <row r="169">
      <c r="A169" s="21" t="n"/>
      <c r="B169" s="21" t="n"/>
      <c r="C169" s="21" t="n"/>
      <c r="D169" s="5">
        <f>IF(A169="","",IF(COUNTIF(Desligados_RH!$A$2:$A$1000,A169)&gt;0,"SIM","não"))</f>
        <v/>
      </c>
      <c r="E169" s="21" t="n"/>
    </row>
    <row r="170">
      <c r="A170" s="21" t="n"/>
      <c r="B170" s="21" t="n"/>
      <c r="C170" s="21" t="n"/>
      <c r="D170" s="5">
        <f>IF(A170="","",IF(COUNTIF(Desligados_RH!$A$2:$A$1000,A170)&gt;0,"SIM","não"))</f>
        <v/>
      </c>
      <c r="E170" s="21" t="n"/>
    </row>
    <row r="171">
      <c r="A171" s="21" t="n"/>
      <c r="B171" s="21" t="n"/>
      <c r="C171" s="21" t="n"/>
      <c r="D171" s="5">
        <f>IF(A171="","",IF(COUNTIF(Desligados_RH!$A$2:$A$1000,A171)&gt;0,"SIM","não"))</f>
        <v/>
      </c>
      <c r="E171" s="21" t="n"/>
    </row>
    <row r="172">
      <c r="A172" s="21" t="n"/>
      <c r="B172" s="21" t="n"/>
      <c r="C172" s="21" t="n"/>
      <c r="D172" s="5">
        <f>IF(A172="","",IF(COUNTIF(Desligados_RH!$A$2:$A$1000,A172)&gt;0,"SIM","não"))</f>
        <v/>
      </c>
      <c r="E172" s="21" t="n"/>
    </row>
    <row r="173">
      <c r="A173" s="21" t="n"/>
      <c r="B173" s="21" t="n"/>
      <c r="C173" s="21" t="n"/>
      <c r="D173" s="5">
        <f>IF(A173="","",IF(COUNTIF(Desligados_RH!$A$2:$A$1000,A173)&gt;0,"SIM","não"))</f>
        <v/>
      </c>
      <c r="E173" s="21" t="n"/>
    </row>
    <row r="174">
      <c r="A174" s="21" t="n"/>
      <c r="B174" s="21" t="n"/>
      <c r="C174" s="21" t="n"/>
      <c r="D174" s="5">
        <f>IF(A174="","",IF(COUNTIF(Desligados_RH!$A$2:$A$1000,A174)&gt;0,"SIM","não"))</f>
        <v/>
      </c>
      <c r="E174" s="21" t="n"/>
    </row>
    <row r="175">
      <c r="A175" s="21" t="n"/>
      <c r="B175" s="21" t="n"/>
      <c r="C175" s="21" t="n"/>
      <c r="D175" s="5">
        <f>IF(A175="","",IF(COUNTIF(Desligados_RH!$A$2:$A$1000,A175)&gt;0,"SIM","não"))</f>
        <v/>
      </c>
      <c r="E175" s="21" t="n"/>
    </row>
    <row r="176">
      <c r="A176" s="21" t="n"/>
      <c r="B176" s="21" t="n"/>
      <c r="C176" s="21" t="n"/>
      <c r="D176" s="5">
        <f>IF(A176="","",IF(COUNTIF(Desligados_RH!$A$2:$A$1000,A176)&gt;0,"SIM","não"))</f>
        <v/>
      </c>
      <c r="E176" s="21" t="n"/>
    </row>
    <row r="177">
      <c r="A177" s="21" t="n"/>
      <c r="B177" s="21" t="n"/>
      <c r="C177" s="21" t="n"/>
      <c r="D177" s="5">
        <f>IF(A177="","",IF(COUNTIF(Desligados_RH!$A$2:$A$1000,A177)&gt;0,"SIM","não"))</f>
        <v/>
      </c>
      <c r="E177" s="21" t="n"/>
    </row>
    <row r="178">
      <c r="A178" s="21" t="n"/>
      <c r="B178" s="21" t="n"/>
      <c r="C178" s="21" t="n"/>
      <c r="D178" s="5">
        <f>IF(A178="","",IF(COUNTIF(Desligados_RH!$A$2:$A$1000,A178)&gt;0,"SIM","não"))</f>
        <v/>
      </c>
      <c r="E178" s="21" t="n"/>
    </row>
    <row r="179">
      <c r="A179" s="21" t="n"/>
      <c r="B179" s="21" t="n"/>
      <c r="C179" s="21" t="n"/>
      <c r="D179" s="5">
        <f>IF(A179="","",IF(COUNTIF(Desligados_RH!$A$2:$A$1000,A179)&gt;0,"SIM","não"))</f>
        <v/>
      </c>
      <c r="E179" s="21" t="n"/>
    </row>
    <row r="180">
      <c r="A180" s="21" t="n"/>
      <c r="B180" s="21" t="n"/>
      <c r="C180" s="21" t="n"/>
      <c r="D180" s="5">
        <f>IF(A180="","",IF(COUNTIF(Desligados_RH!$A$2:$A$1000,A180)&gt;0,"SIM","não"))</f>
        <v/>
      </c>
      <c r="E180" s="21" t="n"/>
    </row>
    <row r="181">
      <c r="A181" s="21" t="n"/>
      <c r="B181" s="21" t="n"/>
      <c r="C181" s="21" t="n"/>
      <c r="D181" s="5">
        <f>IF(A181="","",IF(COUNTIF(Desligados_RH!$A$2:$A$1000,A181)&gt;0,"SIM","não"))</f>
        <v/>
      </c>
      <c r="E181" s="21" t="n"/>
    </row>
    <row r="182">
      <c r="A182" s="21" t="n"/>
      <c r="B182" s="21" t="n"/>
      <c r="C182" s="21" t="n"/>
      <c r="D182" s="5">
        <f>IF(A182="","",IF(COUNTIF(Desligados_RH!$A$2:$A$1000,A182)&gt;0,"SIM","não"))</f>
        <v/>
      </c>
      <c r="E182" s="21" t="n"/>
    </row>
    <row r="183">
      <c r="A183" s="21" t="n"/>
      <c r="B183" s="21" t="n"/>
      <c r="C183" s="21" t="n"/>
      <c r="D183" s="5">
        <f>IF(A183="","",IF(COUNTIF(Desligados_RH!$A$2:$A$1000,A183)&gt;0,"SIM","não"))</f>
        <v/>
      </c>
      <c r="E183" s="21" t="n"/>
    </row>
    <row r="184">
      <c r="A184" s="21" t="n"/>
      <c r="B184" s="21" t="n"/>
      <c r="C184" s="21" t="n"/>
      <c r="D184" s="5">
        <f>IF(A184="","",IF(COUNTIF(Desligados_RH!$A$2:$A$1000,A184)&gt;0,"SIM","não"))</f>
        <v/>
      </c>
      <c r="E184" s="21" t="n"/>
    </row>
    <row r="185">
      <c r="A185" s="21" t="n"/>
      <c r="B185" s="21" t="n"/>
      <c r="C185" s="21" t="n"/>
      <c r="D185" s="5">
        <f>IF(A185="","",IF(COUNTIF(Desligados_RH!$A$2:$A$1000,A185)&gt;0,"SIM","não"))</f>
        <v/>
      </c>
      <c r="E185" s="21" t="n"/>
    </row>
    <row r="186">
      <c r="A186" s="21" t="n"/>
      <c r="B186" s="21" t="n"/>
      <c r="C186" s="21" t="n"/>
      <c r="D186" s="5">
        <f>IF(A186="","",IF(COUNTIF(Desligados_RH!$A$2:$A$1000,A186)&gt;0,"SIM","não"))</f>
        <v/>
      </c>
      <c r="E186" s="21" t="n"/>
    </row>
    <row r="187">
      <c r="A187" s="21" t="n"/>
      <c r="B187" s="21" t="n"/>
      <c r="C187" s="21" t="n"/>
      <c r="D187" s="5">
        <f>IF(A187="","",IF(COUNTIF(Desligados_RH!$A$2:$A$1000,A187)&gt;0,"SIM","não"))</f>
        <v/>
      </c>
      <c r="E187" s="21" t="n"/>
    </row>
    <row r="188">
      <c r="A188" s="21" t="n"/>
      <c r="B188" s="21" t="n"/>
      <c r="C188" s="21" t="n"/>
      <c r="D188" s="5">
        <f>IF(A188="","",IF(COUNTIF(Desligados_RH!$A$2:$A$1000,A188)&gt;0,"SIM","não"))</f>
        <v/>
      </c>
      <c r="E188" s="21" t="n"/>
    </row>
    <row r="189">
      <c r="A189" s="21" t="n"/>
      <c r="B189" s="21" t="n"/>
      <c r="C189" s="21" t="n"/>
      <c r="D189" s="5">
        <f>IF(A189="","",IF(COUNTIF(Desligados_RH!$A$2:$A$1000,A189)&gt;0,"SIM","não"))</f>
        <v/>
      </c>
      <c r="E189" s="21" t="n"/>
    </row>
    <row r="190">
      <c r="A190" s="21" t="n"/>
      <c r="B190" s="21" t="n"/>
      <c r="C190" s="21" t="n"/>
      <c r="D190" s="5">
        <f>IF(A190="","",IF(COUNTIF(Desligados_RH!$A$2:$A$1000,A190)&gt;0,"SIM","não"))</f>
        <v/>
      </c>
      <c r="E190" s="21" t="n"/>
    </row>
    <row r="191">
      <c r="A191" s="21" t="n"/>
      <c r="B191" s="21" t="n"/>
      <c r="C191" s="21" t="n"/>
      <c r="D191" s="5">
        <f>IF(A191="","",IF(COUNTIF(Desligados_RH!$A$2:$A$1000,A191)&gt;0,"SIM","não"))</f>
        <v/>
      </c>
      <c r="E191" s="21" t="n"/>
    </row>
    <row r="192">
      <c r="A192" s="21" t="n"/>
      <c r="B192" s="21" t="n"/>
      <c r="C192" s="21" t="n"/>
      <c r="D192" s="5">
        <f>IF(A192="","",IF(COUNTIF(Desligados_RH!$A$2:$A$1000,A192)&gt;0,"SIM","não"))</f>
        <v/>
      </c>
      <c r="E192" s="21" t="n"/>
    </row>
    <row r="193">
      <c r="A193" s="21" t="n"/>
      <c r="B193" s="21" t="n"/>
      <c r="C193" s="21" t="n"/>
      <c r="D193" s="5">
        <f>IF(A193="","",IF(COUNTIF(Desligados_RH!$A$2:$A$1000,A193)&gt;0,"SIM","não"))</f>
        <v/>
      </c>
      <c r="E193" s="21" t="n"/>
    </row>
    <row r="194">
      <c r="A194" s="21" t="n"/>
      <c r="B194" s="21" t="n"/>
      <c r="C194" s="21" t="n"/>
      <c r="D194" s="5">
        <f>IF(A194="","",IF(COUNTIF(Desligados_RH!$A$2:$A$1000,A194)&gt;0,"SIM","não"))</f>
        <v/>
      </c>
      <c r="E194" s="21" t="n"/>
    </row>
    <row r="195">
      <c r="A195" s="21" t="n"/>
      <c r="B195" s="21" t="n"/>
      <c r="C195" s="21" t="n"/>
      <c r="D195" s="5">
        <f>IF(A195="","",IF(COUNTIF(Desligados_RH!$A$2:$A$1000,A195)&gt;0,"SIM","não"))</f>
        <v/>
      </c>
      <c r="E195" s="21" t="n"/>
    </row>
    <row r="196">
      <c r="A196" s="21" t="n"/>
      <c r="B196" s="21" t="n"/>
      <c r="C196" s="21" t="n"/>
      <c r="D196" s="5">
        <f>IF(A196="","",IF(COUNTIF(Desligados_RH!$A$2:$A$1000,A196)&gt;0,"SIM","não"))</f>
        <v/>
      </c>
      <c r="E196" s="21" t="n"/>
    </row>
    <row r="197">
      <c r="A197" s="21" t="n"/>
      <c r="B197" s="21" t="n"/>
      <c r="C197" s="21" t="n"/>
      <c r="D197" s="5">
        <f>IF(A197="","",IF(COUNTIF(Desligados_RH!$A$2:$A$1000,A197)&gt;0,"SIM","não"))</f>
        <v/>
      </c>
      <c r="E197" s="21" t="n"/>
    </row>
    <row r="198">
      <c r="A198" s="21" t="n"/>
      <c r="B198" s="21" t="n"/>
      <c r="C198" s="21" t="n"/>
      <c r="D198" s="5">
        <f>IF(A198="","",IF(COUNTIF(Desligados_RH!$A$2:$A$1000,A198)&gt;0,"SIM","não"))</f>
        <v/>
      </c>
      <c r="E198" s="21" t="n"/>
    </row>
    <row r="199">
      <c r="A199" s="21" t="n"/>
      <c r="B199" s="21" t="n"/>
      <c r="C199" s="21" t="n"/>
      <c r="D199" s="5">
        <f>IF(A199="","",IF(COUNTIF(Desligados_RH!$A$2:$A$1000,A199)&gt;0,"SIM","não"))</f>
        <v/>
      </c>
      <c r="E199" s="21" t="n"/>
    </row>
    <row r="200">
      <c r="A200" s="21" t="n"/>
      <c r="B200" s="21" t="n"/>
      <c r="C200" s="21" t="n"/>
      <c r="D200" s="5">
        <f>IF(A200="","",IF(COUNTIF(Desligados_RH!$A$2:$A$1000,A200)&gt;0,"SIM","não"))</f>
        <v/>
      </c>
      <c r="E200" s="21" t="n"/>
    </row>
    <row r="201">
      <c r="A201" s="21" t="n"/>
      <c r="B201" s="21" t="n"/>
      <c r="C201" s="21" t="n"/>
      <c r="D201" s="5">
        <f>IF(A201="","",IF(COUNTIF(Desligados_RH!$A$2:$A$1000,A201)&gt;0,"SIM","não"))</f>
        <v/>
      </c>
      <c r="E201" s="21" t="n"/>
    </row>
    <row r="202">
      <c r="A202" s="21" t="n"/>
      <c r="B202" s="21" t="n"/>
      <c r="C202" s="21" t="n"/>
      <c r="D202" s="5">
        <f>IF(A202="","",IF(COUNTIF(Desligados_RH!$A$2:$A$1000,A202)&gt;0,"SIM","não"))</f>
        <v/>
      </c>
      <c r="E202" s="21" t="n"/>
    </row>
    <row r="203">
      <c r="A203" s="21" t="n"/>
      <c r="B203" s="21" t="n"/>
      <c r="C203" s="21" t="n"/>
      <c r="D203" s="5">
        <f>IF(A203="","",IF(COUNTIF(Desligados_RH!$A$2:$A$1000,A203)&gt;0,"SIM","não"))</f>
        <v/>
      </c>
      <c r="E203" s="21" t="n"/>
    </row>
    <row r="204">
      <c r="A204" s="21" t="n"/>
      <c r="B204" s="21" t="n"/>
      <c r="C204" s="21" t="n"/>
      <c r="D204" s="5">
        <f>IF(A204="","",IF(COUNTIF(Desligados_RH!$A$2:$A$1000,A204)&gt;0,"SIM","não"))</f>
        <v/>
      </c>
      <c r="E204" s="21" t="n"/>
    </row>
    <row r="205">
      <c r="A205" s="21" t="n"/>
      <c r="B205" s="21" t="n"/>
      <c r="C205" s="21" t="n"/>
      <c r="D205" s="5">
        <f>IF(A205="","",IF(COUNTIF(Desligados_RH!$A$2:$A$1000,A205)&gt;0,"SIM","não"))</f>
        <v/>
      </c>
      <c r="E205" s="21" t="n"/>
    </row>
    <row r="206">
      <c r="A206" s="21" t="n"/>
      <c r="B206" s="21" t="n"/>
      <c r="C206" s="21" t="n"/>
      <c r="D206" s="5">
        <f>IF(A206="","",IF(COUNTIF(Desligados_RH!$A$2:$A$1000,A206)&gt;0,"SIM","não"))</f>
        <v/>
      </c>
      <c r="E206" s="21" t="n"/>
    </row>
    <row r="207">
      <c r="A207" s="21" t="n"/>
      <c r="B207" s="21" t="n"/>
      <c r="C207" s="21" t="n"/>
      <c r="D207" s="5">
        <f>IF(A207="","",IF(COUNTIF(Desligados_RH!$A$2:$A$1000,A207)&gt;0,"SIM","não"))</f>
        <v/>
      </c>
      <c r="E207" s="21" t="n"/>
    </row>
    <row r="208">
      <c r="A208" s="21" t="n"/>
      <c r="B208" s="21" t="n"/>
      <c r="C208" s="21" t="n"/>
      <c r="D208" s="5">
        <f>IF(A208="","",IF(COUNTIF(Desligados_RH!$A$2:$A$1000,A208)&gt;0,"SIM","não"))</f>
        <v/>
      </c>
      <c r="E208" s="21" t="n"/>
    </row>
    <row r="209">
      <c r="A209" s="21" t="n"/>
      <c r="B209" s="21" t="n"/>
      <c r="C209" s="21" t="n"/>
      <c r="D209" s="5">
        <f>IF(A209="","",IF(COUNTIF(Desligados_RH!$A$2:$A$1000,A209)&gt;0,"SIM","não"))</f>
        <v/>
      </c>
      <c r="E209" s="21" t="n"/>
    </row>
    <row r="210">
      <c r="A210" s="21" t="n"/>
      <c r="B210" s="21" t="n"/>
      <c r="C210" s="21" t="n"/>
      <c r="D210" s="5">
        <f>IF(A210="","",IF(COUNTIF(Desligados_RH!$A$2:$A$1000,A210)&gt;0,"SIM","não"))</f>
        <v/>
      </c>
      <c r="E210" s="21" t="n"/>
    </row>
    <row r="211">
      <c r="A211" s="21" t="n"/>
      <c r="B211" s="21" t="n"/>
      <c r="C211" s="21" t="n"/>
      <c r="D211" s="5">
        <f>IF(A211="","",IF(COUNTIF(Desligados_RH!$A$2:$A$1000,A211)&gt;0,"SIM","não"))</f>
        <v/>
      </c>
      <c r="E211" s="21" t="n"/>
    </row>
    <row r="212">
      <c r="A212" s="21" t="n"/>
      <c r="B212" s="21" t="n"/>
      <c r="C212" s="21" t="n"/>
      <c r="D212" s="5">
        <f>IF(A212="","",IF(COUNTIF(Desligados_RH!$A$2:$A$1000,A212)&gt;0,"SIM","não"))</f>
        <v/>
      </c>
      <c r="E212" s="21" t="n"/>
    </row>
    <row r="213">
      <c r="A213" s="21" t="n"/>
      <c r="B213" s="21" t="n"/>
      <c r="C213" s="21" t="n"/>
      <c r="D213" s="5">
        <f>IF(A213="","",IF(COUNTIF(Desligados_RH!$A$2:$A$1000,A213)&gt;0,"SIM","não"))</f>
        <v/>
      </c>
      <c r="E213" s="21" t="n"/>
    </row>
    <row r="214">
      <c r="A214" s="21" t="n"/>
      <c r="B214" s="21" t="n"/>
      <c r="C214" s="21" t="n"/>
      <c r="D214" s="5">
        <f>IF(A214="","",IF(COUNTIF(Desligados_RH!$A$2:$A$1000,A214)&gt;0,"SIM","não"))</f>
        <v/>
      </c>
      <c r="E214" s="21" t="n"/>
    </row>
    <row r="215">
      <c r="A215" s="21" t="n"/>
      <c r="B215" s="21" t="n"/>
      <c r="C215" s="21" t="n"/>
      <c r="D215" s="5">
        <f>IF(A215="","",IF(COUNTIF(Desligados_RH!$A$2:$A$1000,A215)&gt;0,"SIM","não"))</f>
        <v/>
      </c>
      <c r="E215" s="21" t="n"/>
    </row>
    <row r="216">
      <c r="A216" s="21" t="n"/>
      <c r="B216" s="21" t="n"/>
      <c r="C216" s="21" t="n"/>
      <c r="D216" s="5">
        <f>IF(A216="","",IF(COUNTIF(Desligados_RH!$A$2:$A$1000,A216)&gt;0,"SIM","não"))</f>
        <v/>
      </c>
      <c r="E216" s="21" t="n"/>
    </row>
    <row r="217">
      <c r="A217" s="21" t="n"/>
      <c r="B217" s="21" t="n"/>
      <c r="C217" s="21" t="n"/>
      <c r="D217" s="5">
        <f>IF(A217="","",IF(COUNTIF(Desligados_RH!$A$2:$A$1000,A217)&gt;0,"SIM","não"))</f>
        <v/>
      </c>
      <c r="E217" s="21" t="n"/>
    </row>
    <row r="218">
      <c r="A218" s="21" t="n"/>
      <c r="B218" s="21" t="n"/>
      <c r="C218" s="21" t="n"/>
      <c r="D218" s="5">
        <f>IF(A218="","",IF(COUNTIF(Desligados_RH!$A$2:$A$1000,A218)&gt;0,"SIM","não"))</f>
        <v/>
      </c>
      <c r="E218" s="21" t="n"/>
    </row>
    <row r="219">
      <c r="A219" s="21" t="n"/>
      <c r="B219" s="21" t="n"/>
      <c r="C219" s="21" t="n"/>
      <c r="D219" s="5">
        <f>IF(A219="","",IF(COUNTIF(Desligados_RH!$A$2:$A$1000,A219)&gt;0,"SIM","não"))</f>
        <v/>
      </c>
      <c r="E219" s="21" t="n"/>
    </row>
    <row r="220">
      <c r="A220" s="21" t="n"/>
      <c r="B220" s="21" t="n"/>
      <c r="C220" s="21" t="n"/>
      <c r="D220" s="5">
        <f>IF(A220="","",IF(COUNTIF(Desligados_RH!$A$2:$A$1000,A220)&gt;0,"SIM","não"))</f>
        <v/>
      </c>
      <c r="E220" s="21" t="n"/>
    </row>
    <row r="221">
      <c r="A221" s="21" t="n"/>
      <c r="B221" s="21" t="n"/>
      <c r="C221" s="21" t="n"/>
      <c r="D221" s="5">
        <f>IF(A221="","",IF(COUNTIF(Desligados_RH!$A$2:$A$1000,A221)&gt;0,"SIM","não"))</f>
        <v/>
      </c>
      <c r="E221" s="21" t="n"/>
    </row>
    <row r="222">
      <c r="A222" s="21" t="n"/>
      <c r="B222" s="21" t="n"/>
      <c r="C222" s="21" t="n"/>
      <c r="D222" s="5">
        <f>IF(A222="","",IF(COUNTIF(Desligados_RH!$A$2:$A$1000,A222)&gt;0,"SIM","não"))</f>
        <v/>
      </c>
      <c r="E222" s="21" t="n"/>
    </row>
    <row r="223">
      <c r="A223" s="21" t="n"/>
      <c r="B223" s="21" t="n"/>
      <c r="C223" s="21" t="n"/>
      <c r="D223" s="5">
        <f>IF(A223="","",IF(COUNTIF(Desligados_RH!$A$2:$A$1000,A223)&gt;0,"SIM","não"))</f>
        <v/>
      </c>
      <c r="E223" s="21" t="n"/>
    </row>
    <row r="224">
      <c r="A224" s="21" t="n"/>
      <c r="B224" s="21" t="n"/>
      <c r="C224" s="21" t="n"/>
      <c r="D224" s="5">
        <f>IF(A224="","",IF(COUNTIF(Desligados_RH!$A$2:$A$1000,A224)&gt;0,"SIM","não"))</f>
        <v/>
      </c>
      <c r="E224" s="21" t="n"/>
    </row>
    <row r="225">
      <c r="A225" s="21" t="n"/>
      <c r="B225" s="21" t="n"/>
      <c r="C225" s="21" t="n"/>
      <c r="D225" s="5">
        <f>IF(A225="","",IF(COUNTIF(Desligados_RH!$A$2:$A$1000,A225)&gt;0,"SIM","não"))</f>
        <v/>
      </c>
      <c r="E225" s="21" t="n"/>
    </row>
    <row r="226">
      <c r="A226" s="21" t="n"/>
      <c r="B226" s="21" t="n"/>
      <c r="C226" s="21" t="n"/>
      <c r="D226" s="5">
        <f>IF(A226="","",IF(COUNTIF(Desligados_RH!$A$2:$A$1000,A226)&gt;0,"SIM","não"))</f>
        <v/>
      </c>
      <c r="E226" s="21" t="n"/>
    </row>
    <row r="227">
      <c r="A227" s="21" t="n"/>
      <c r="B227" s="21" t="n"/>
      <c r="C227" s="21" t="n"/>
      <c r="D227" s="5">
        <f>IF(A227="","",IF(COUNTIF(Desligados_RH!$A$2:$A$1000,A227)&gt;0,"SIM","não"))</f>
        <v/>
      </c>
      <c r="E227" s="21" t="n"/>
    </row>
    <row r="228">
      <c r="A228" s="21" t="n"/>
      <c r="B228" s="21" t="n"/>
      <c r="C228" s="21" t="n"/>
      <c r="D228" s="5">
        <f>IF(A228="","",IF(COUNTIF(Desligados_RH!$A$2:$A$1000,A228)&gt;0,"SIM","não"))</f>
        <v/>
      </c>
      <c r="E228" s="21" t="n"/>
    </row>
    <row r="229">
      <c r="A229" s="21" t="n"/>
      <c r="B229" s="21" t="n"/>
      <c r="C229" s="21" t="n"/>
      <c r="D229" s="5">
        <f>IF(A229="","",IF(COUNTIF(Desligados_RH!$A$2:$A$1000,A229)&gt;0,"SIM","não"))</f>
        <v/>
      </c>
      <c r="E229" s="21" t="n"/>
    </row>
    <row r="230">
      <c r="A230" s="21" t="n"/>
      <c r="B230" s="21" t="n"/>
      <c r="C230" s="21" t="n"/>
      <c r="D230" s="5">
        <f>IF(A230="","",IF(COUNTIF(Desligados_RH!$A$2:$A$1000,A230)&gt;0,"SIM","não"))</f>
        <v/>
      </c>
      <c r="E230" s="21" t="n"/>
    </row>
    <row r="231">
      <c r="A231" s="21" t="n"/>
      <c r="B231" s="21" t="n"/>
      <c r="C231" s="21" t="n"/>
      <c r="D231" s="5">
        <f>IF(A231="","",IF(COUNTIF(Desligados_RH!$A$2:$A$1000,A231)&gt;0,"SIM","não"))</f>
        <v/>
      </c>
      <c r="E231" s="21" t="n"/>
    </row>
    <row r="232">
      <c r="A232" s="21" t="n"/>
      <c r="B232" s="21" t="n"/>
      <c r="C232" s="21" t="n"/>
      <c r="D232" s="5">
        <f>IF(A232="","",IF(COUNTIF(Desligados_RH!$A$2:$A$1000,A232)&gt;0,"SIM","não"))</f>
        <v/>
      </c>
      <c r="E232" s="21" t="n"/>
    </row>
    <row r="233">
      <c r="A233" s="21" t="n"/>
      <c r="B233" s="21" t="n"/>
      <c r="C233" s="21" t="n"/>
      <c r="D233" s="5">
        <f>IF(A233="","",IF(COUNTIF(Desligados_RH!$A$2:$A$1000,A233)&gt;0,"SIM","não"))</f>
        <v/>
      </c>
      <c r="E233" s="21" t="n"/>
    </row>
    <row r="234">
      <c r="A234" s="21" t="n"/>
      <c r="B234" s="21" t="n"/>
      <c r="C234" s="21" t="n"/>
      <c r="D234" s="5">
        <f>IF(A234="","",IF(COUNTIF(Desligados_RH!$A$2:$A$1000,A234)&gt;0,"SIM","não"))</f>
        <v/>
      </c>
      <c r="E234" s="21" t="n"/>
    </row>
    <row r="235">
      <c r="A235" s="21" t="n"/>
      <c r="B235" s="21" t="n"/>
      <c r="C235" s="21" t="n"/>
      <c r="D235" s="5">
        <f>IF(A235="","",IF(COUNTIF(Desligados_RH!$A$2:$A$1000,A235)&gt;0,"SIM","não"))</f>
        <v/>
      </c>
      <c r="E235" s="21" t="n"/>
    </row>
    <row r="236">
      <c r="A236" s="21" t="n"/>
      <c r="B236" s="21" t="n"/>
      <c r="C236" s="21" t="n"/>
      <c r="D236" s="5">
        <f>IF(A236="","",IF(COUNTIF(Desligados_RH!$A$2:$A$1000,A236)&gt;0,"SIM","não"))</f>
        <v/>
      </c>
      <c r="E236" s="21" t="n"/>
    </row>
    <row r="237">
      <c r="A237" s="21" t="n"/>
      <c r="B237" s="21" t="n"/>
      <c r="C237" s="21" t="n"/>
      <c r="D237" s="5">
        <f>IF(A237="","",IF(COUNTIF(Desligados_RH!$A$2:$A$1000,A237)&gt;0,"SIM","não"))</f>
        <v/>
      </c>
      <c r="E237" s="21" t="n"/>
    </row>
    <row r="238">
      <c r="A238" s="21" t="n"/>
      <c r="B238" s="21" t="n"/>
      <c r="C238" s="21" t="n"/>
      <c r="D238" s="5">
        <f>IF(A238="","",IF(COUNTIF(Desligados_RH!$A$2:$A$1000,A238)&gt;0,"SIM","não"))</f>
        <v/>
      </c>
      <c r="E238" s="21" t="n"/>
    </row>
    <row r="239">
      <c r="A239" s="21" t="n"/>
      <c r="B239" s="21" t="n"/>
      <c r="C239" s="21" t="n"/>
      <c r="D239" s="5">
        <f>IF(A239="","",IF(COUNTIF(Desligados_RH!$A$2:$A$1000,A239)&gt;0,"SIM","não"))</f>
        <v/>
      </c>
      <c r="E239" s="21" t="n"/>
    </row>
    <row r="240">
      <c r="A240" s="21" t="n"/>
      <c r="B240" s="21" t="n"/>
      <c r="C240" s="21" t="n"/>
      <c r="D240" s="5">
        <f>IF(A240="","",IF(COUNTIF(Desligados_RH!$A$2:$A$1000,A240)&gt;0,"SIM","não"))</f>
        <v/>
      </c>
      <c r="E240" s="21" t="n"/>
    </row>
    <row r="241">
      <c r="A241" s="21" t="n"/>
      <c r="B241" s="21" t="n"/>
      <c r="C241" s="21" t="n"/>
      <c r="D241" s="5">
        <f>IF(A241="","",IF(COUNTIF(Desligados_RH!$A$2:$A$1000,A241)&gt;0,"SIM","não"))</f>
        <v/>
      </c>
      <c r="E241" s="21" t="n"/>
    </row>
    <row r="242">
      <c r="A242" s="21" t="n"/>
      <c r="B242" s="21" t="n"/>
      <c r="C242" s="21" t="n"/>
      <c r="D242" s="5">
        <f>IF(A242="","",IF(COUNTIF(Desligados_RH!$A$2:$A$1000,A242)&gt;0,"SIM","não"))</f>
        <v/>
      </c>
      <c r="E242" s="21" t="n"/>
    </row>
    <row r="243">
      <c r="A243" s="21" t="n"/>
      <c r="B243" s="21" t="n"/>
      <c r="C243" s="21" t="n"/>
      <c r="D243" s="5">
        <f>IF(A243="","",IF(COUNTIF(Desligados_RH!$A$2:$A$1000,A243)&gt;0,"SIM","não"))</f>
        <v/>
      </c>
      <c r="E243" s="21" t="n"/>
    </row>
    <row r="244">
      <c r="A244" s="21" t="n"/>
      <c r="B244" s="21" t="n"/>
      <c r="C244" s="21" t="n"/>
      <c r="D244" s="5">
        <f>IF(A244="","",IF(COUNTIF(Desligados_RH!$A$2:$A$1000,A244)&gt;0,"SIM","não"))</f>
        <v/>
      </c>
      <c r="E244" s="21" t="n"/>
    </row>
    <row r="245">
      <c r="A245" s="21" t="n"/>
      <c r="B245" s="21" t="n"/>
      <c r="C245" s="21" t="n"/>
      <c r="D245" s="5">
        <f>IF(A245="","",IF(COUNTIF(Desligados_RH!$A$2:$A$1000,A245)&gt;0,"SIM","não"))</f>
        <v/>
      </c>
      <c r="E245" s="21" t="n"/>
    </row>
    <row r="246">
      <c r="A246" s="21" t="n"/>
      <c r="B246" s="21" t="n"/>
      <c r="C246" s="21" t="n"/>
      <c r="D246" s="5">
        <f>IF(A246="","",IF(COUNTIF(Desligados_RH!$A$2:$A$1000,A246)&gt;0,"SIM","não"))</f>
        <v/>
      </c>
      <c r="E246" s="21" t="n"/>
    </row>
    <row r="247">
      <c r="A247" s="21" t="n"/>
      <c r="B247" s="21" t="n"/>
      <c r="C247" s="21" t="n"/>
      <c r="D247" s="5">
        <f>IF(A247="","",IF(COUNTIF(Desligados_RH!$A$2:$A$1000,A247)&gt;0,"SIM","não"))</f>
        <v/>
      </c>
      <c r="E247" s="21" t="n"/>
    </row>
    <row r="248">
      <c r="A248" s="21" t="n"/>
      <c r="B248" s="21" t="n"/>
      <c r="C248" s="21" t="n"/>
      <c r="D248" s="5">
        <f>IF(A248="","",IF(COUNTIF(Desligados_RH!$A$2:$A$1000,A248)&gt;0,"SIM","não"))</f>
        <v/>
      </c>
      <c r="E248" s="21" t="n"/>
    </row>
    <row r="249">
      <c r="A249" s="21" t="n"/>
      <c r="B249" s="21" t="n"/>
      <c r="C249" s="21" t="n"/>
      <c r="D249" s="5">
        <f>IF(A249="","",IF(COUNTIF(Desligados_RH!$A$2:$A$1000,A249)&gt;0,"SIM","não"))</f>
        <v/>
      </c>
      <c r="E249" s="21" t="n"/>
    </row>
    <row r="250">
      <c r="A250" s="21" t="n"/>
      <c r="B250" s="21" t="n"/>
      <c r="C250" s="21" t="n"/>
      <c r="D250" s="5">
        <f>IF(A250="","",IF(COUNTIF(Desligados_RH!$A$2:$A$1000,A250)&gt;0,"SIM","não"))</f>
        <v/>
      </c>
      <c r="E250" s="21" t="n"/>
    </row>
    <row r="251">
      <c r="A251" s="21" t="n"/>
      <c r="B251" s="21" t="n"/>
      <c r="C251" s="21" t="n"/>
      <c r="D251" s="5">
        <f>IF(A251="","",IF(COUNTIF(Desligados_RH!$A$2:$A$1000,A251)&gt;0,"SIM","não"))</f>
        <v/>
      </c>
      <c r="E251" s="21" t="n"/>
    </row>
    <row r="252">
      <c r="A252" s="21" t="n"/>
      <c r="B252" s="21" t="n"/>
      <c r="C252" s="21" t="n"/>
      <c r="D252" s="5">
        <f>IF(A252="","",IF(COUNTIF(Desligados_RH!$A$2:$A$1000,A252)&gt;0,"SIM","não"))</f>
        <v/>
      </c>
      <c r="E252" s="21" t="n"/>
    </row>
    <row r="253">
      <c r="A253" s="21" t="n"/>
      <c r="B253" s="21" t="n"/>
      <c r="C253" s="21" t="n"/>
      <c r="D253" s="5">
        <f>IF(A253="","",IF(COUNTIF(Desligados_RH!$A$2:$A$1000,A253)&gt;0,"SIM","não"))</f>
        <v/>
      </c>
      <c r="E253" s="21" t="n"/>
    </row>
    <row r="254">
      <c r="A254" s="21" t="n"/>
      <c r="B254" s="21" t="n"/>
      <c r="C254" s="21" t="n"/>
      <c r="D254" s="5">
        <f>IF(A254="","",IF(COUNTIF(Desligados_RH!$A$2:$A$1000,A254)&gt;0,"SIM","não"))</f>
        <v/>
      </c>
      <c r="E254" s="21" t="n"/>
    </row>
    <row r="255">
      <c r="A255" s="21" t="n"/>
      <c r="B255" s="21" t="n"/>
      <c r="C255" s="21" t="n"/>
      <c r="D255" s="5">
        <f>IF(A255="","",IF(COUNTIF(Desligados_RH!$A$2:$A$1000,A255)&gt;0,"SIM","não"))</f>
        <v/>
      </c>
      <c r="E255" s="21" t="n"/>
    </row>
    <row r="256">
      <c r="A256" s="21" t="n"/>
      <c r="B256" s="21" t="n"/>
      <c r="C256" s="21" t="n"/>
      <c r="D256" s="5">
        <f>IF(A256="","",IF(COUNTIF(Desligados_RH!$A$2:$A$1000,A256)&gt;0,"SIM","não"))</f>
        <v/>
      </c>
      <c r="E256" s="21" t="n"/>
    </row>
    <row r="257">
      <c r="A257" s="21" t="n"/>
      <c r="B257" s="21" t="n"/>
      <c r="C257" s="21" t="n"/>
      <c r="D257" s="5">
        <f>IF(A257="","",IF(COUNTIF(Desligados_RH!$A$2:$A$1000,A257)&gt;0,"SIM","não"))</f>
        <v/>
      </c>
      <c r="E257" s="21" t="n"/>
    </row>
    <row r="258">
      <c r="A258" s="21" t="n"/>
      <c r="B258" s="21" t="n"/>
      <c r="C258" s="21" t="n"/>
      <c r="D258" s="5">
        <f>IF(A258="","",IF(COUNTIF(Desligados_RH!$A$2:$A$1000,A258)&gt;0,"SIM","não"))</f>
        <v/>
      </c>
      <c r="E258" s="21" t="n"/>
    </row>
    <row r="259">
      <c r="A259" s="21" t="n"/>
      <c r="B259" s="21" t="n"/>
      <c r="C259" s="21" t="n"/>
      <c r="D259" s="5">
        <f>IF(A259="","",IF(COUNTIF(Desligados_RH!$A$2:$A$1000,A259)&gt;0,"SIM","não"))</f>
        <v/>
      </c>
      <c r="E259" s="21" t="n"/>
    </row>
    <row r="260">
      <c r="A260" s="21" t="n"/>
      <c r="B260" s="21" t="n"/>
      <c r="C260" s="21" t="n"/>
      <c r="D260" s="5">
        <f>IF(A260="","",IF(COUNTIF(Desligados_RH!$A$2:$A$1000,A260)&gt;0,"SIM","não"))</f>
        <v/>
      </c>
      <c r="E260" s="21" t="n"/>
    </row>
    <row r="261">
      <c r="A261" s="21" t="n"/>
      <c r="B261" s="21" t="n"/>
      <c r="C261" s="21" t="n"/>
      <c r="D261" s="5">
        <f>IF(A261="","",IF(COUNTIF(Desligados_RH!$A$2:$A$1000,A261)&gt;0,"SIM","não"))</f>
        <v/>
      </c>
      <c r="E261" s="21" t="n"/>
    </row>
    <row r="262">
      <c r="A262" s="21" t="n"/>
      <c r="B262" s="21" t="n"/>
      <c r="C262" s="21" t="n"/>
      <c r="D262" s="5">
        <f>IF(A262="","",IF(COUNTIF(Desligados_RH!$A$2:$A$1000,A262)&gt;0,"SIM","não"))</f>
        <v/>
      </c>
      <c r="E262" s="21" t="n"/>
    </row>
    <row r="263">
      <c r="A263" s="21" t="n"/>
      <c r="B263" s="21" t="n"/>
      <c r="C263" s="21" t="n"/>
      <c r="D263" s="5">
        <f>IF(A263="","",IF(COUNTIF(Desligados_RH!$A$2:$A$1000,A263)&gt;0,"SIM","não"))</f>
        <v/>
      </c>
      <c r="E263" s="21" t="n"/>
    </row>
    <row r="264">
      <c r="A264" s="21" t="n"/>
      <c r="B264" s="21" t="n"/>
      <c r="C264" s="21" t="n"/>
      <c r="D264" s="5">
        <f>IF(A264="","",IF(COUNTIF(Desligados_RH!$A$2:$A$1000,A264)&gt;0,"SIM","não"))</f>
        <v/>
      </c>
      <c r="E264" s="21" t="n"/>
    </row>
    <row r="265">
      <c r="A265" s="21" t="n"/>
      <c r="B265" s="21" t="n"/>
      <c r="C265" s="21" t="n"/>
      <c r="D265" s="5">
        <f>IF(A265="","",IF(COUNTIF(Desligados_RH!$A$2:$A$1000,A265)&gt;0,"SIM","não"))</f>
        <v/>
      </c>
      <c r="E265" s="21" t="n"/>
    </row>
    <row r="266">
      <c r="A266" s="21" t="n"/>
      <c r="B266" s="21" t="n"/>
      <c r="C266" s="21" t="n"/>
      <c r="D266" s="5">
        <f>IF(A266="","",IF(COUNTIF(Desligados_RH!$A$2:$A$1000,A266)&gt;0,"SIM","não"))</f>
        <v/>
      </c>
      <c r="E266" s="21" t="n"/>
    </row>
    <row r="267">
      <c r="A267" s="21" t="n"/>
      <c r="B267" s="21" t="n"/>
      <c r="C267" s="21" t="n"/>
      <c r="D267" s="5">
        <f>IF(A267="","",IF(COUNTIF(Desligados_RH!$A$2:$A$1000,A267)&gt;0,"SIM","não"))</f>
        <v/>
      </c>
      <c r="E267" s="21" t="n"/>
    </row>
    <row r="268">
      <c r="A268" s="21" t="n"/>
      <c r="B268" s="21" t="n"/>
      <c r="C268" s="21" t="n"/>
      <c r="D268" s="5">
        <f>IF(A268="","",IF(COUNTIF(Desligados_RH!$A$2:$A$1000,A268)&gt;0,"SIM","não"))</f>
        <v/>
      </c>
      <c r="E268" s="21" t="n"/>
    </row>
    <row r="269">
      <c r="A269" s="21" t="n"/>
      <c r="B269" s="21" t="n"/>
      <c r="C269" s="21" t="n"/>
      <c r="D269" s="5">
        <f>IF(A269="","",IF(COUNTIF(Desligados_RH!$A$2:$A$1000,A269)&gt;0,"SIM","não"))</f>
        <v/>
      </c>
      <c r="E269" s="21" t="n"/>
    </row>
    <row r="270">
      <c r="A270" s="21" t="n"/>
      <c r="B270" s="21" t="n"/>
      <c r="C270" s="21" t="n"/>
      <c r="D270" s="5">
        <f>IF(A270="","",IF(COUNTIF(Desligados_RH!$A$2:$A$1000,A270)&gt;0,"SIM","não"))</f>
        <v/>
      </c>
      <c r="E270" s="21" t="n"/>
    </row>
    <row r="271">
      <c r="A271" s="21" t="n"/>
      <c r="B271" s="21" t="n"/>
      <c r="C271" s="21" t="n"/>
      <c r="D271" s="5">
        <f>IF(A271="","",IF(COUNTIF(Desligados_RH!$A$2:$A$1000,A271)&gt;0,"SIM","não"))</f>
        <v/>
      </c>
      <c r="E271" s="21" t="n"/>
    </row>
    <row r="272">
      <c r="A272" s="21" t="n"/>
      <c r="B272" s="21" t="n"/>
      <c r="C272" s="21" t="n"/>
      <c r="D272" s="5">
        <f>IF(A272="","",IF(COUNTIF(Desligados_RH!$A$2:$A$1000,A272)&gt;0,"SIM","não"))</f>
        <v/>
      </c>
      <c r="E272" s="21" t="n"/>
    </row>
    <row r="273">
      <c r="A273" s="21" t="n"/>
      <c r="B273" s="21" t="n"/>
      <c r="C273" s="21" t="n"/>
      <c r="D273" s="5">
        <f>IF(A273="","",IF(COUNTIF(Desligados_RH!$A$2:$A$1000,A273)&gt;0,"SIM","não"))</f>
        <v/>
      </c>
      <c r="E273" s="21" t="n"/>
    </row>
    <row r="274">
      <c r="A274" s="21" t="n"/>
      <c r="B274" s="21" t="n"/>
      <c r="C274" s="21" t="n"/>
      <c r="D274" s="5">
        <f>IF(A274="","",IF(COUNTIF(Desligados_RH!$A$2:$A$1000,A274)&gt;0,"SIM","não"))</f>
        <v/>
      </c>
      <c r="E274" s="21" t="n"/>
    </row>
    <row r="275">
      <c r="A275" s="21" t="n"/>
      <c r="B275" s="21" t="n"/>
      <c r="C275" s="21" t="n"/>
      <c r="D275" s="5">
        <f>IF(A275="","",IF(COUNTIF(Desligados_RH!$A$2:$A$1000,A275)&gt;0,"SIM","não"))</f>
        <v/>
      </c>
      <c r="E275" s="21" t="n"/>
    </row>
    <row r="276">
      <c r="A276" s="21" t="n"/>
      <c r="B276" s="21" t="n"/>
      <c r="C276" s="21" t="n"/>
      <c r="D276" s="5">
        <f>IF(A276="","",IF(COUNTIF(Desligados_RH!$A$2:$A$1000,A276)&gt;0,"SIM","não"))</f>
        <v/>
      </c>
      <c r="E276" s="21" t="n"/>
    </row>
    <row r="277">
      <c r="A277" s="21" t="n"/>
      <c r="B277" s="21" t="n"/>
      <c r="C277" s="21" t="n"/>
      <c r="D277" s="5">
        <f>IF(A277="","",IF(COUNTIF(Desligados_RH!$A$2:$A$1000,A277)&gt;0,"SIM","não"))</f>
        <v/>
      </c>
      <c r="E277" s="21" t="n"/>
    </row>
    <row r="278">
      <c r="A278" s="21" t="n"/>
      <c r="B278" s="21" t="n"/>
      <c r="C278" s="21" t="n"/>
      <c r="D278" s="5">
        <f>IF(A278="","",IF(COUNTIF(Desligados_RH!$A$2:$A$1000,A278)&gt;0,"SIM","não"))</f>
        <v/>
      </c>
      <c r="E278" s="21" t="n"/>
    </row>
    <row r="279">
      <c r="A279" s="21" t="n"/>
      <c r="B279" s="21" t="n"/>
      <c r="C279" s="21" t="n"/>
      <c r="D279" s="5">
        <f>IF(A279="","",IF(COUNTIF(Desligados_RH!$A$2:$A$1000,A279)&gt;0,"SIM","não"))</f>
        <v/>
      </c>
      <c r="E279" s="21" t="n"/>
    </row>
    <row r="280">
      <c r="A280" s="21" t="n"/>
      <c r="B280" s="21" t="n"/>
      <c r="C280" s="21" t="n"/>
      <c r="D280" s="5">
        <f>IF(A280="","",IF(COUNTIF(Desligados_RH!$A$2:$A$1000,A280)&gt;0,"SIM","não"))</f>
        <v/>
      </c>
      <c r="E280" s="21" t="n"/>
    </row>
    <row r="281">
      <c r="A281" s="21" t="n"/>
      <c r="B281" s="21" t="n"/>
      <c r="C281" s="21" t="n"/>
      <c r="D281" s="5">
        <f>IF(A281="","",IF(COUNTIF(Desligados_RH!$A$2:$A$1000,A281)&gt;0,"SIM","não"))</f>
        <v/>
      </c>
      <c r="E281" s="21" t="n"/>
    </row>
    <row r="282">
      <c r="A282" s="21" t="n"/>
      <c r="B282" s="21" t="n"/>
      <c r="C282" s="21" t="n"/>
      <c r="D282" s="5">
        <f>IF(A282="","",IF(COUNTIF(Desligados_RH!$A$2:$A$1000,A282)&gt;0,"SIM","não"))</f>
        <v/>
      </c>
      <c r="E282" s="21" t="n"/>
    </row>
    <row r="283">
      <c r="A283" s="21" t="n"/>
      <c r="B283" s="21" t="n"/>
      <c r="C283" s="21" t="n"/>
      <c r="D283" s="5">
        <f>IF(A283="","",IF(COUNTIF(Desligados_RH!$A$2:$A$1000,A283)&gt;0,"SIM","não"))</f>
        <v/>
      </c>
      <c r="E283" s="21" t="n"/>
    </row>
    <row r="284">
      <c r="A284" s="21" t="n"/>
      <c r="B284" s="21" t="n"/>
      <c r="C284" s="21" t="n"/>
      <c r="D284" s="5">
        <f>IF(A284="","",IF(COUNTIF(Desligados_RH!$A$2:$A$1000,A284)&gt;0,"SIM","não"))</f>
        <v/>
      </c>
      <c r="E284" s="21" t="n"/>
    </row>
    <row r="285">
      <c r="A285" s="21" t="n"/>
      <c r="B285" s="21" t="n"/>
      <c r="C285" s="21" t="n"/>
      <c r="D285" s="5">
        <f>IF(A285="","",IF(COUNTIF(Desligados_RH!$A$2:$A$1000,A285)&gt;0,"SIM","não"))</f>
        <v/>
      </c>
      <c r="E285" s="21" t="n"/>
    </row>
    <row r="286">
      <c r="A286" s="21" t="n"/>
      <c r="B286" s="21" t="n"/>
      <c r="C286" s="21" t="n"/>
      <c r="D286" s="5">
        <f>IF(A286="","",IF(COUNTIF(Desligados_RH!$A$2:$A$1000,A286)&gt;0,"SIM","não"))</f>
        <v/>
      </c>
      <c r="E286" s="21" t="n"/>
    </row>
    <row r="287">
      <c r="A287" s="21" t="n"/>
      <c r="B287" s="21" t="n"/>
      <c r="C287" s="21" t="n"/>
      <c r="D287" s="5">
        <f>IF(A287="","",IF(COUNTIF(Desligados_RH!$A$2:$A$1000,A287)&gt;0,"SIM","não"))</f>
        <v/>
      </c>
      <c r="E287" s="21" t="n"/>
    </row>
    <row r="288">
      <c r="A288" s="21" t="n"/>
      <c r="B288" s="21" t="n"/>
      <c r="C288" s="21" t="n"/>
      <c r="D288" s="5">
        <f>IF(A288="","",IF(COUNTIF(Desligados_RH!$A$2:$A$1000,A288)&gt;0,"SIM","não"))</f>
        <v/>
      </c>
      <c r="E288" s="21" t="n"/>
    </row>
    <row r="289">
      <c r="A289" s="21" t="n"/>
      <c r="B289" s="21" t="n"/>
      <c r="C289" s="21" t="n"/>
      <c r="D289" s="5">
        <f>IF(A289="","",IF(COUNTIF(Desligados_RH!$A$2:$A$1000,A289)&gt;0,"SIM","não"))</f>
        <v/>
      </c>
      <c r="E289" s="21" t="n"/>
    </row>
    <row r="290">
      <c r="A290" s="21" t="n"/>
      <c r="B290" s="21" t="n"/>
      <c r="C290" s="21" t="n"/>
      <c r="D290" s="5">
        <f>IF(A290="","",IF(COUNTIF(Desligados_RH!$A$2:$A$1000,A290)&gt;0,"SIM","não"))</f>
        <v/>
      </c>
      <c r="E290" s="21" t="n"/>
    </row>
    <row r="291">
      <c r="A291" s="21" t="n"/>
      <c r="B291" s="21" t="n"/>
      <c r="C291" s="21" t="n"/>
      <c r="D291" s="5">
        <f>IF(A291="","",IF(COUNTIF(Desligados_RH!$A$2:$A$1000,A291)&gt;0,"SIM","não"))</f>
        <v/>
      </c>
      <c r="E291" s="21" t="n"/>
    </row>
    <row r="292">
      <c r="A292" s="21" t="n"/>
      <c r="B292" s="21" t="n"/>
      <c r="C292" s="21" t="n"/>
      <c r="D292" s="5">
        <f>IF(A292="","",IF(COUNTIF(Desligados_RH!$A$2:$A$1000,A292)&gt;0,"SIM","não"))</f>
        <v/>
      </c>
      <c r="E292" s="21" t="n"/>
    </row>
    <row r="293">
      <c r="A293" s="21" t="n"/>
      <c r="B293" s="21" t="n"/>
      <c r="C293" s="21" t="n"/>
      <c r="D293" s="5">
        <f>IF(A293="","",IF(COUNTIF(Desligados_RH!$A$2:$A$1000,A293)&gt;0,"SIM","não"))</f>
        <v/>
      </c>
      <c r="E293" s="21" t="n"/>
    </row>
    <row r="294">
      <c r="A294" s="21" t="n"/>
      <c r="B294" s="21" t="n"/>
      <c r="C294" s="21" t="n"/>
      <c r="D294" s="5">
        <f>IF(A294="","",IF(COUNTIF(Desligados_RH!$A$2:$A$1000,A294)&gt;0,"SIM","não"))</f>
        <v/>
      </c>
      <c r="E294" s="21" t="n"/>
    </row>
    <row r="295">
      <c r="A295" s="21" t="n"/>
      <c r="B295" s="21" t="n"/>
      <c r="C295" s="21" t="n"/>
      <c r="D295" s="5">
        <f>IF(A295="","",IF(COUNTIF(Desligados_RH!$A$2:$A$1000,A295)&gt;0,"SIM","não"))</f>
        <v/>
      </c>
      <c r="E295" s="21" t="n"/>
    </row>
    <row r="296">
      <c r="A296" s="21" t="n"/>
      <c r="B296" s="21" t="n"/>
      <c r="C296" s="21" t="n"/>
      <c r="D296" s="5">
        <f>IF(A296="","",IF(COUNTIF(Desligados_RH!$A$2:$A$1000,A296)&gt;0,"SIM","não"))</f>
        <v/>
      </c>
      <c r="E296" s="21" t="n"/>
    </row>
    <row r="297">
      <c r="A297" s="21" t="n"/>
      <c r="B297" s="21" t="n"/>
      <c r="C297" s="21" t="n"/>
      <c r="D297" s="5">
        <f>IF(A297="","",IF(COUNTIF(Desligados_RH!$A$2:$A$1000,A297)&gt;0,"SIM","não"))</f>
        <v/>
      </c>
      <c r="E297" s="21" t="n"/>
    </row>
    <row r="298">
      <c r="A298" s="21" t="n"/>
      <c r="B298" s="21" t="n"/>
      <c r="C298" s="21" t="n"/>
      <c r="D298" s="5">
        <f>IF(A298="","",IF(COUNTIF(Desligados_RH!$A$2:$A$1000,A298)&gt;0,"SIM","não"))</f>
        <v/>
      </c>
      <c r="E298" s="21" t="n"/>
    </row>
    <row r="299">
      <c r="A299" s="21" t="n"/>
      <c r="B299" s="21" t="n"/>
      <c r="C299" s="21" t="n"/>
      <c r="D299" s="5">
        <f>IF(A299="","",IF(COUNTIF(Desligados_RH!$A$2:$A$1000,A299)&gt;0,"SIM","não"))</f>
        <v/>
      </c>
      <c r="E299" s="21" t="n"/>
    </row>
    <row r="300">
      <c r="A300" s="21" t="n"/>
      <c r="B300" s="21" t="n"/>
      <c r="C300" s="21" t="n"/>
      <c r="D300" s="5">
        <f>IF(A300="","",IF(COUNTIF(Desligados_RH!$A$2:$A$1000,A300)&gt;0,"SIM","não"))</f>
        <v/>
      </c>
      <c r="E300" s="21" t="n"/>
    </row>
    <row r="301">
      <c r="A301" s="21" t="n"/>
      <c r="B301" s="21" t="n"/>
      <c r="C301" s="21" t="n"/>
      <c r="D301" s="5">
        <f>IF(A301="","",IF(COUNTIF(Desligados_RH!$A$2:$A$1000,A301)&gt;0,"SIM","não"))</f>
        <v/>
      </c>
      <c r="E301" s="21" t="n"/>
    </row>
    <row r="302">
      <c r="A302" s="21" t="n"/>
      <c r="B302" s="21" t="n"/>
      <c r="C302" s="21" t="n"/>
      <c r="D302" s="5">
        <f>IF(A302="","",IF(COUNTIF(Desligados_RH!$A$2:$A$1000,A302)&gt;0,"SIM","não"))</f>
        <v/>
      </c>
      <c r="E302" s="21" t="n"/>
    </row>
    <row r="303">
      <c r="A303" s="21" t="n"/>
      <c r="B303" s="21" t="n"/>
      <c r="C303" s="21" t="n"/>
      <c r="D303" s="5">
        <f>IF(A303="","",IF(COUNTIF(Desligados_RH!$A$2:$A$1000,A303)&gt;0,"SIM","não"))</f>
        <v/>
      </c>
      <c r="E303" s="21" t="n"/>
    </row>
    <row r="304">
      <c r="A304" s="21" t="n"/>
      <c r="B304" s="21" t="n"/>
      <c r="C304" s="21" t="n"/>
      <c r="D304" s="5">
        <f>IF(A304="","",IF(COUNTIF(Desligados_RH!$A$2:$A$1000,A304)&gt;0,"SIM","não"))</f>
        <v/>
      </c>
      <c r="E304" s="21" t="n"/>
    </row>
    <row r="305">
      <c r="A305" s="21" t="n"/>
      <c r="B305" s="21" t="n"/>
      <c r="C305" s="21" t="n"/>
      <c r="D305" s="5">
        <f>IF(A305="","",IF(COUNTIF(Desligados_RH!$A$2:$A$1000,A305)&gt;0,"SIM","não"))</f>
        <v/>
      </c>
      <c r="E305" s="21" t="n"/>
    </row>
    <row r="306">
      <c r="A306" s="21" t="n"/>
      <c r="B306" s="21" t="n"/>
      <c r="C306" s="21" t="n"/>
      <c r="D306" s="5">
        <f>IF(A306="","",IF(COUNTIF(Desligados_RH!$A$2:$A$1000,A306)&gt;0,"SIM","não"))</f>
        <v/>
      </c>
      <c r="E306" s="21" t="n"/>
    </row>
    <row r="307">
      <c r="A307" s="21" t="n"/>
      <c r="B307" s="21" t="n"/>
      <c r="C307" s="21" t="n"/>
      <c r="D307" s="5">
        <f>IF(A307="","",IF(COUNTIF(Desligados_RH!$A$2:$A$1000,A307)&gt;0,"SIM","não"))</f>
        <v/>
      </c>
      <c r="E307" s="21" t="n"/>
    </row>
    <row r="308">
      <c r="A308" s="21" t="n"/>
      <c r="B308" s="21" t="n"/>
      <c r="C308" s="21" t="n"/>
      <c r="D308" s="5">
        <f>IF(A308="","",IF(COUNTIF(Desligados_RH!$A$2:$A$1000,A308)&gt;0,"SIM","não"))</f>
        <v/>
      </c>
      <c r="E308" s="21" t="n"/>
    </row>
    <row r="309">
      <c r="A309" s="21" t="n"/>
      <c r="B309" s="21" t="n"/>
      <c r="C309" s="21" t="n"/>
      <c r="D309" s="5">
        <f>IF(A309="","",IF(COUNTIF(Desligados_RH!$A$2:$A$1000,A309)&gt;0,"SIM","não"))</f>
        <v/>
      </c>
      <c r="E309" s="21" t="n"/>
    </row>
    <row r="310">
      <c r="A310" s="21" t="n"/>
      <c r="B310" s="21" t="n"/>
      <c r="C310" s="21" t="n"/>
      <c r="D310" s="5">
        <f>IF(A310="","",IF(COUNTIF(Desligados_RH!$A$2:$A$1000,A310)&gt;0,"SIM","não"))</f>
        <v/>
      </c>
      <c r="E310" s="21" t="n"/>
    </row>
    <row r="311">
      <c r="A311" s="21" t="n"/>
      <c r="B311" s="21" t="n"/>
      <c r="C311" s="21" t="n"/>
      <c r="D311" s="5">
        <f>IF(A311="","",IF(COUNTIF(Desligados_RH!$A$2:$A$1000,A311)&gt;0,"SIM","não"))</f>
        <v/>
      </c>
      <c r="E311" s="21" t="n"/>
    </row>
    <row r="312">
      <c r="A312" s="21" t="n"/>
      <c r="B312" s="21" t="n"/>
      <c r="C312" s="21" t="n"/>
      <c r="D312" s="5">
        <f>IF(A312="","",IF(COUNTIF(Desligados_RH!$A$2:$A$1000,A312)&gt;0,"SIM","não"))</f>
        <v/>
      </c>
      <c r="E312" s="21" t="n"/>
    </row>
    <row r="313">
      <c r="A313" s="21" t="n"/>
      <c r="B313" s="21" t="n"/>
      <c r="C313" s="21" t="n"/>
      <c r="D313" s="5">
        <f>IF(A313="","",IF(COUNTIF(Desligados_RH!$A$2:$A$1000,A313)&gt;0,"SIM","não"))</f>
        <v/>
      </c>
      <c r="E313" s="21" t="n"/>
    </row>
    <row r="314">
      <c r="A314" s="21" t="n"/>
      <c r="B314" s="21" t="n"/>
      <c r="C314" s="21" t="n"/>
      <c r="D314" s="5">
        <f>IF(A314="","",IF(COUNTIF(Desligados_RH!$A$2:$A$1000,A314)&gt;0,"SIM","não"))</f>
        <v/>
      </c>
      <c r="E314" s="21" t="n"/>
    </row>
    <row r="315">
      <c r="A315" s="21" t="n"/>
      <c r="B315" s="21" t="n"/>
      <c r="C315" s="21" t="n"/>
      <c r="D315" s="5">
        <f>IF(A315="","",IF(COUNTIF(Desligados_RH!$A$2:$A$1000,A315)&gt;0,"SIM","não"))</f>
        <v/>
      </c>
      <c r="E315" s="21" t="n"/>
    </row>
    <row r="316">
      <c r="A316" s="21" t="n"/>
      <c r="B316" s="21" t="n"/>
      <c r="C316" s="21" t="n"/>
      <c r="D316" s="5">
        <f>IF(A316="","",IF(COUNTIF(Desligados_RH!$A$2:$A$1000,A316)&gt;0,"SIM","não"))</f>
        <v/>
      </c>
      <c r="E316" s="21" t="n"/>
    </row>
    <row r="317">
      <c r="A317" s="21" t="n"/>
      <c r="B317" s="21" t="n"/>
      <c r="C317" s="21" t="n"/>
      <c r="D317" s="5">
        <f>IF(A317="","",IF(COUNTIF(Desligados_RH!$A$2:$A$1000,A317)&gt;0,"SIM","não"))</f>
        <v/>
      </c>
      <c r="E317" s="21" t="n"/>
    </row>
    <row r="318">
      <c r="A318" s="21" t="n"/>
      <c r="B318" s="21" t="n"/>
      <c r="C318" s="21" t="n"/>
      <c r="D318" s="5">
        <f>IF(A318="","",IF(COUNTIF(Desligados_RH!$A$2:$A$1000,A318)&gt;0,"SIM","não"))</f>
        <v/>
      </c>
      <c r="E318" s="21" t="n"/>
    </row>
    <row r="319">
      <c r="A319" s="21" t="n"/>
      <c r="B319" s="21" t="n"/>
      <c r="C319" s="21" t="n"/>
      <c r="D319" s="5">
        <f>IF(A319="","",IF(COUNTIF(Desligados_RH!$A$2:$A$1000,A319)&gt;0,"SIM","não"))</f>
        <v/>
      </c>
      <c r="E319" s="21" t="n"/>
    </row>
    <row r="320">
      <c r="A320" s="21" t="n"/>
      <c r="B320" s="21" t="n"/>
      <c r="C320" s="21" t="n"/>
      <c r="D320" s="5">
        <f>IF(A320="","",IF(COUNTIF(Desligados_RH!$A$2:$A$1000,A320)&gt;0,"SIM","não"))</f>
        <v/>
      </c>
      <c r="E320" s="21" t="n"/>
    </row>
    <row r="321">
      <c r="A321" s="21" t="n"/>
      <c r="B321" s="21" t="n"/>
      <c r="C321" s="21" t="n"/>
      <c r="D321" s="5">
        <f>IF(A321="","",IF(COUNTIF(Desligados_RH!$A$2:$A$1000,A321)&gt;0,"SIM","não"))</f>
        <v/>
      </c>
      <c r="E321" s="21" t="n"/>
    </row>
    <row r="322">
      <c r="A322" s="21" t="n"/>
      <c r="B322" s="21" t="n"/>
      <c r="C322" s="21" t="n"/>
      <c r="D322" s="5">
        <f>IF(A322="","",IF(COUNTIF(Desligados_RH!$A$2:$A$1000,A322)&gt;0,"SIM","não"))</f>
        <v/>
      </c>
      <c r="E322" s="21" t="n"/>
    </row>
    <row r="323">
      <c r="A323" s="21" t="n"/>
      <c r="B323" s="21" t="n"/>
      <c r="C323" s="21" t="n"/>
      <c r="D323" s="5">
        <f>IF(A323="","",IF(COUNTIF(Desligados_RH!$A$2:$A$1000,A323)&gt;0,"SIM","não"))</f>
        <v/>
      </c>
      <c r="E323" s="21" t="n"/>
    </row>
    <row r="324">
      <c r="A324" s="21" t="n"/>
      <c r="B324" s="21" t="n"/>
      <c r="C324" s="21" t="n"/>
      <c r="D324" s="5">
        <f>IF(A324="","",IF(COUNTIF(Desligados_RH!$A$2:$A$1000,A324)&gt;0,"SIM","não"))</f>
        <v/>
      </c>
      <c r="E324" s="21" t="n"/>
    </row>
    <row r="325">
      <c r="A325" s="21" t="n"/>
      <c r="B325" s="21" t="n"/>
      <c r="C325" s="21" t="n"/>
      <c r="D325" s="5">
        <f>IF(A325="","",IF(COUNTIF(Desligados_RH!$A$2:$A$1000,A325)&gt;0,"SIM","não"))</f>
        <v/>
      </c>
      <c r="E325" s="21" t="n"/>
    </row>
    <row r="326">
      <c r="A326" s="21" t="n"/>
      <c r="B326" s="21" t="n"/>
      <c r="C326" s="21" t="n"/>
      <c r="D326" s="5">
        <f>IF(A326="","",IF(COUNTIF(Desligados_RH!$A$2:$A$1000,A326)&gt;0,"SIM","não"))</f>
        <v/>
      </c>
      <c r="E326" s="21" t="n"/>
    </row>
    <row r="327">
      <c r="A327" s="21" t="n"/>
      <c r="B327" s="21" t="n"/>
      <c r="C327" s="21" t="n"/>
      <c r="D327" s="5">
        <f>IF(A327="","",IF(COUNTIF(Desligados_RH!$A$2:$A$1000,A327)&gt;0,"SIM","não"))</f>
        <v/>
      </c>
      <c r="E327" s="21" t="n"/>
    </row>
    <row r="328">
      <c r="A328" s="21" t="n"/>
      <c r="B328" s="21" t="n"/>
      <c r="C328" s="21" t="n"/>
      <c r="D328" s="5">
        <f>IF(A328="","",IF(COUNTIF(Desligados_RH!$A$2:$A$1000,A328)&gt;0,"SIM","não"))</f>
        <v/>
      </c>
      <c r="E328" s="21" t="n"/>
    </row>
    <row r="329">
      <c r="A329" s="21" t="n"/>
      <c r="B329" s="21" t="n"/>
      <c r="C329" s="21" t="n"/>
      <c r="D329" s="5">
        <f>IF(A329="","",IF(COUNTIF(Desligados_RH!$A$2:$A$1000,A329)&gt;0,"SIM","não"))</f>
        <v/>
      </c>
      <c r="E329" s="21" t="n"/>
    </row>
    <row r="330">
      <c r="A330" s="21" t="n"/>
      <c r="B330" s="21" t="n"/>
      <c r="C330" s="21" t="n"/>
      <c r="D330" s="5">
        <f>IF(A330="","",IF(COUNTIF(Desligados_RH!$A$2:$A$1000,A330)&gt;0,"SIM","não"))</f>
        <v/>
      </c>
      <c r="E330" s="21" t="n"/>
    </row>
    <row r="331">
      <c r="A331" s="21" t="n"/>
      <c r="B331" s="21" t="n"/>
      <c r="C331" s="21" t="n"/>
      <c r="D331" s="5">
        <f>IF(A331="","",IF(COUNTIF(Desligados_RH!$A$2:$A$1000,A331)&gt;0,"SIM","não"))</f>
        <v/>
      </c>
      <c r="E331" s="21" t="n"/>
    </row>
    <row r="332">
      <c r="A332" s="21" t="n"/>
      <c r="B332" s="21" t="n"/>
      <c r="C332" s="21" t="n"/>
      <c r="D332" s="5">
        <f>IF(A332="","",IF(COUNTIF(Desligados_RH!$A$2:$A$1000,A332)&gt;0,"SIM","não"))</f>
        <v/>
      </c>
      <c r="E332" s="21" t="n"/>
    </row>
    <row r="333">
      <c r="A333" s="21" t="n"/>
      <c r="B333" s="21" t="n"/>
      <c r="C333" s="21" t="n"/>
      <c r="D333" s="5">
        <f>IF(A333="","",IF(COUNTIF(Desligados_RH!$A$2:$A$1000,A333)&gt;0,"SIM","não"))</f>
        <v/>
      </c>
      <c r="E333" s="21" t="n"/>
    </row>
    <row r="334">
      <c r="A334" s="21" t="n"/>
      <c r="B334" s="21" t="n"/>
      <c r="C334" s="21" t="n"/>
      <c r="D334" s="5">
        <f>IF(A334="","",IF(COUNTIF(Desligados_RH!$A$2:$A$1000,A334)&gt;0,"SIM","não"))</f>
        <v/>
      </c>
      <c r="E334" s="21" t="n"/>
    </row>
    <row r="335">
      <c r="A335" s="21" t="n"/>
      <c r="B335" s="21" t="n"/>
      <c r="C335" s="21" t="n"/>
      <c r="D335" s="5">
        <f>IF(A335="","",IF(COUNTIF(Desligados_RH!$A$2:$A$1000,A335)&gt;0,"SIM","não"))</f>
        <v/>
      </c>
      <c r="E335" s="21" t="n"/>
    </row>
    <row r="336">
      <c r="A336" s="21" t="n"/>
      <c r="B336" s="21" t="n"/>
      <c r="C336" s="21" t="n"/>
      <c r="D336" s="5">
        <f>IF(A336="","",IF(COUNTIF(Desligados_RH!$A$2:$A$1000,A336)&gt;0,"SIM","não"))</f>
        <v/>
      </c>
      <c r="E336" s="21" t="n"/>
    </row>
    <row r="337">
      <c r="A337" s="21" t="n"/>
      <c r="B337" s="21" t="n"/>
      <c r="C337" s="21" t="n"/>
      <c r="D337" s="5">
        <f>IF(A337="","",IF(COUNTIF(Desligados_RH!$A$2:$A$1000,A337)&gt;0,"SIM","não"))</f>
        <v/>
      </c>
      <c r="E337" s="21" t="n"/>
    </row>
    <row r="338">
      <c r="A338" s="21" t="n"/>
      <c r="B338" s="21" t="n"/>
      <c r="C338" s="21" t="n"/>
      <c r="D338" s="5">
        <f>IF(A338="","",IF(COUNTIF(Desligados_RH!$A$2:$A$1000,A338)&gt;0,"SIM","não"))</f>
        <v/>
      </c>
      <c r="E338" s="21" t="n"/>
    </row>
    <row r="339">
      <c r="A339" s="21" t="n"/>
      <c r="B339" s="21" t="n"/>
      <c r="C339" s="21" t="n"/>
      <c r="D339" s="5">
        <f>IF(A339="","",IF(COUNTIF(Desligados_RH!$A$2:$A$1000,A339)&gt;0,"SIM","não"))</f>
        <v/>
      </c>
      <c r="E339" s="21" t="n"/>
    </row>
    <row r="340">
      <c r="A340" s="21" t="n"/>
      <c r="B340" s="21" t="n"/>
      <c r="C340" s="21" t="n"/>
      <c r="D340" s="5">
        <f>IF(A340="","",IF(COUNTIF(Desligados_RH!$A$2:$A$1000,A340)&gt;0,"SIM","não"))</f>
        <v/>
      </c>
      <c r="E340" s="21" t="n"/>
    </row>
    <row r="341">
      <c r="A341" s="21" t="n"/>
      <c r="B341" s="21" t="n"/>
      <c r="C341" s="21" t="n"/>
      <c r="D341" s="5">
        <f>IF(A341="","",IF(COUNTIF(Desligados_RH!$A$2:$A$1000,A341)&gt;0,"SIM","não"))</f>
        <v/>
      </c>
      <c r="E341" s="21" t="n"/>
    </row>
    <row r="342">
      <c r="A342" s="21" t="n"/>
      <c r="B342" s="21" t="n"/>
      <c r="C342" s="21" t="n"/>
      <c r="D342" s="5">
        <f>IF(A342="","",IF(COUNTIF(Desligados_RH!$A$2:$A$1000,A342)&gt;0,"SIM","não"))</f>
        <v/>
      </c>
      <c r="E342" s="21" t="n"/>
    </row>
    <row r="343">
      <c r="A343" s="21" t="n"/>
      <c r="B343" s="21" t="n"/>
      <c r="C343" s="21" t="n"/>
      <c r="D343" s="5">
        <f>IF(A343="","",IF(COUNTIF(Desligados_RH!$A$2:$A$1000,A343)&gt;0,"SIM","não"))</f>
        <v/>
      </c>
      <c r="E343" s="21" t="n"/>
    </row>
    <row r="344">
      <c r="A344" s="21" t="n"/>
      <c r="B344" s="21" t="n"/>
      <c r="C344" s="21" t="n"/>
      <c r="D344" s="5">
        <f>IF(A344="","",IF(COUNTIF(Desligados_RH!$A$2:$A$1000,A344)&gt;0,"SIM","não"))</f>
        <v/>
      </c>
      <c r="E344" s="21" t="n"/>
    </row>
    <row r="345">
      <c r="A345" s="21" t="n"/>
      <c r="B345" s="21" t="n"/>
      <c r="C345" s="21" t="n"/>
      <c r="D345" s="5">
        <f>IF(A345="","",IF(COUNTIF(Desligados_RH!$A$2:$A$1000,A345)&gt;0,"SIM","não"))</f>
        <v/>
      </c>
      <c r="E345" s="21" t="n"/>
    </row>
    <row r="346">
      <c r="A346" s="21" t="n"/>
      <c r="B346" s="21" t="n"/>
      <c r="C346" s="21" t="n"/>
      <c r="D346" s="5">
        <f>IF(A346="","",IF(COUNTIF(Desligados_RH!$A$2:$A$1000,A346)&gt;0,"SIM","não"))</f>
        <v/>
      </c>
      <c r="E346" s="21" t="n"/>
    </row>
    <row r="347">
      <c r="A347" s="21" t="n"/>
      <c r="B347" s="21" t="n"/>
      <c r="C347" s="21" t="n"/>
      <c r="D347" s="5">
        <f>IF(A347="","",IF(COUNTIF(Desligados_RH!$A$2:$A$1000,A347)&gt;0,"SIM","não"))</f>
        <v/>
      </c>
      <c r="E347" s="21" t="n"/>
    </row>
    <row r="348">
      <c r="A348" s="21" t="n"/>
      <c r="B348" s="21" t="n"/>
      <c r="C348" s="21" t="n"/>
      <c r="D348" s="5">
        <f>IF(A348="","",IF(COUNTIF(Desligados_RH!$A$2:$A$1000,A348)&gt;0,"SIM","não"))</f>
        <v/>
      </c>
      <c r="E348" s="21" t="n"/>
    </row>
    <row r="349">
      <c r="A349" s="21" t="n"/>
      <c r="B349" s="21" t="n"/>
      <c r="C349" s="21" t="n"/>
      <c r="D349" s="5">
        <f>IF(A349="","",IF(COUNTIF(Desligados_RH!$A$2:$A$1000,A349)&gt;0,"SIM","não"))</f>
        <v/>
      </c>
      <c r="E349" s="21" t="n"/>
    </row>
    <row r="350">
      <c r="A350" s="21" t="n"/>
      <c r="B350" s="21" t="n"/>
      <c r="C350" s="21" t="n"/>
      <c r="D350" s="5">
        <f>IF(A350="","",IF(COUNTIF(Desligados_RH!$A$2:$A$1000,A350)&gt;0,"SIM","não"))</f>
        <v/>
      </c>
      <c r="E350" s="21" t="n"/>
    </row>
    <row r="351">
      <c r="A351" s="21" t="n"/>
      <c r="B351" s="21" t="n"/>
      <c r="C351" s="21" t="n"/>
      <c r="D351" s="5">
        <f>IF(A351="","",IF(COUNTIF(Desligados_RH!$A$2:$A$1000,A351)&gt;0,"SIM","não"))</f>
        <v/>
      </c>
      <c r="E351" s="21" t="n"/>
    </row>
    <row r="352">
      <c r="A352" s="21" t="n"/>
      <c r="B352" s="21" t="n"/>
      <c r="C352" s="21" t="n"/>
      <c r="D352" s="5">
        <f>IF(A352="","",IF(COUNTIF(Desligados_RH!$A$2:$A$1000,A352)&gt;0,"SIM","não"))</f>
        <v/>
      </c>
      <c r="E352" s="21" t="n"/>
    </row>
    <row r="353">
      <c r="A353" s="21" t="n"/>
      <c r="B353" s="21" t="n"/>
      <c r="C353" s="21" t="n"/>
      <c r="D353" s="5">
        <f>IF(A353="","",IF(COUNTIF(Desligados_RH!$A$2:$A$1000,A353)&gt;0,"SIM","não"))</f>
        <v/>
      </c>
      <c r="E353" s="21" t="n"/>
    </row>
    <row r="354">
      <c r="A354" s="21" t="n"/>
      <c r="B354" s="21" t="n"/>
      <c r="C354" s="21" t="n"/>
      <c r="D354" s="5">
        <f>IF(A354="","",IF(COUNTIF(Desligados_RH!$A$2:$A$1000,A354)&gt;0,"SIM","não"))</f>
        <v/>
      </c>
      <c r="E354" s="21" t="n"/>
    </row>
    <row r="355">
      <c r="A355" s="21" t="n"/>
      <c r="B355" s="21" t="n"/>
      <c r="C355" s="21" t="n"/>
      <c r="D355" s="5">
        <f>IF(A355="","",IF(COUNTIF(Desligados_RH!$A$2:$A$1000,A355)&gt;0,"SIM","não"))</f>
        <v/>
      </c>
      <c r="E355" s="21" t="n"/>
    </row>
    <row r="356">
      <c r="A356" s="21" t="n"/>
      <c r="B356" s="21" t="n"/>
      <c r="C356" s="21" t="n"/>
      <c r="D356" s="5">
        <f>IF(A356="","",IF(COUNTIF(Desligados_RH!$A$2:$A$1000,A356)&gt;0,"SIM","não"))</f>
        <v/>
      </c>
      <c r="E356" s="21" t="n"/>
    </row>
    <row r="357">
      <c r="A357" s="21" t="n"/>
      <c r="B357" s="21" t="n"/>
      <c r="C357" s="21" t="n"/>
      <c r="D357" s="5">
        <f>IF(A357="","",IF(COUNTIF(Desligados_RH!$A$2:$A$1000,A357)&gt;0,"SIM","não"))</f>
        <v/>
      </c>
      <c r="E357" s="21" t="n"/>
    </row>
    <row r="358">
      <c r="A358" s="21" t="n"/>
      <c r="B358" s="21" t="n"/>
      <c r="C358" s="21" t="n"/>
      <c r="D358" s="5">
        <f>IF(A358="","",IF(COUNTIF(Desligados_RH!$A$2:$A$1000,A358)&gt;0,"SIM","não"))</f>
        <v/>
      </c>
      <c r="E358" s="21" t="n"/>
    </row>
    <row r="359">
      <c r="A359" s="21" t="n"/>
      <c r="B359" s="21" t="n"/>
      <c r="C359" s="21" t="n"/>
      <c r="D359" s="5">
        <f>IF(A359="","",IF(COUNTIF(Desligados_RH!$A$2:$A$1000,A359)&gt;0,"SIM","não"))</f>
        <v/>
      </c>
      <c r="E359" s="21" t="n"/>
    </row>
    <row r="360">
      <c r="A360" s="21" t="n"/>
      <c r="B360" s="21" t="n"/>
      <c r="C360" s="21" t="n"/>
      <c r="D360" s="5">
        <f>IF(A360="","",IF(COUNTIF(Desligados_RH!$A$2:$A$1000,A360)&gt;0,"SIM","não"))</f>
        <v/>
      </c>
      <c r="E360" s="21" t="n"/>
    </row>
    <row r="361">
      <c r="A361" s="21" t="n"/>
      <c r="B361" s="21" t="n"/>
      <c r="C361" s="21" t="n"/>
      <c r="D361" s="5">
        <f>IF(A361="","",IF(COUNTIF(Desligados_RH!$A$2:$A$1000,A361)&gt;0,"SIM","não"))</f>
        <v/>
      </c>
      <c r="E361" s="21" t="n"/>
    </row>
    <row r="362">
      <c r="A362" s="21" t="n"/>
      <c r="B362" s="21" t="n"/>
      <c r="C362" s="21" t="n"/>
      <c r="D362" s="5">
        <f>IF(A362="","",IF(COUNTIF(Desligados_RH!$A$2:$A$1000,A362)&gt;0,"SIM","não"))</f>
        <v/>
      </c>
      <c r="E362" s="21" t="n"/>
    </row>
    <row r="363">
      <c r="A363" s="21" t="n"/>
      <c r="B363" s="21" t="n"/>
      <c r="C363" s="21" t="n"/>
      <c r="D363" s="5">
        <f>IF(A363="","",IF(COUNTIF(Desligados_RH!$A$2:$A$1000,A363)&gt;0,"SIM","não"))</f>
        <v/>
      </c>
      <c r="E363" s="21" t="n"/>
    </row>
    <row r="364">
      <c r="A364" s="21" t="n"/>
      <c r="B364" s="21" t="n"/>
      <c r="C364" s="21" t="n"/>
      <c r="D364" s="5">
        <f>IF(A364="","",IF(COUNTIF(Desligados_RH!$A$2:$A$1000,A364)&gt;0,"SIM","não"))</f>
        <v/>
      </c>
      <c r="E364" s="21" t="n"/>
    </row>
    <row r="365">
      <c r="A365" s="21" t="n"/>
      <c r="B365" s="21" t="n"/>
      <c r="C365" s="21" t="n"/>
      <c r="D365" s="5">
        <f>IF(A365="","",IF(COUNTIF(Desligados_RH!$A$2:$A$1000,A365)&gt;0,"SIM","não"))</f>
        <v/>
      </c>
      <c r="E365" s="21" t="n"/>
    </row>
    <row r="366">
      <c r="A366" s="21" t="n"/>
      <c r="B366" s="21" t="n"/>
      <c r="C366" s="21" t="n"/>
      <c r="D366" s="5">
        <f>IF(A366="","",IF(COUNTIF(Desligados_RH!$A$2:$A$1000,A366)&gt;0,"SIM","não"))</f>
        <v/>
      </c>
      <c r="E366" s="21" t="n"/>
    </row>
    <row r="367">
      <c r="A367" s="21" t="n"/>
      <c r="B367" s="21" t="n"/>
      <c r="C367" s="21" t="n"/>
      <c r="D367" s="5">
        <f>IF(A367="","",IF(COUNTIF(Desligados_RH!$A$2:$A$1000,A367)&gt;0,"SIM","não"))</f>
        <v/>
      </c>
      <c r="E367" s="21" t="n"/>
    </row>
    <row r="368">
      <c r="A368" s="21" t="n"/>
      <c r="B368" s="21" t="n"/>
      <c r="C368" s="21" t="n"/>
      <c r="D368" s="5">
        <f>IF(A368="","",IF(COUNTIF(Desligados_RH!$A$2:$A$1000,A368)&gt;0,"SIM","não"))</f>
        <v/>
      </c>
      <c r="E368" s="21" t="n"/>
    </row>
    <row r="369">
      <c r="A369" s="21" t="n"/>
      <c r="B369" s="21" t="n"/>
      <c r="C369" s="21" t="n"/>
      <c r="D369" s="5">
        <f>IF(A369="","",IF(COUNTIF(Desligados_RH!$A$2:$A$1000,A369)&gt;0,"SIM","não"))</f>
        <v/>
      </c>
      <c r="E369" s="21" t="n"/>
    </row>
    <row r="370">
      <c r="A370" s="21" t="n"/>
      <c r="B370" s="21" t="n"/>
      <c r="C370" s="21" t="n"/>
      <c r="D370" s="5">
        <f>IF(A370="","",IF(COUNTIF(Desligados_RH!$A$2:$A$1000,A370)&gt;0,"SIM","não"))</f>
        <v/>
      </c>
      <c r="E370" s="21" t="n"/>
    </row>
    <row r="371">
      <c r="A371" s="21" t="n"/>
      <c r="B371" s="21" t="n"/>
      <c r="C371" s="21" t="n"/>
      <c r="D371" s="5">
        <f>IF(A371="","",IF(COUNTIF(Desligados_RH!$A$2:$A$1000,A371)&gt;0,"SIM","não"))</f>
        <v/>
      </c>
      <c r="E371" s="21" t="n"/>
    </row>
    <row r="372">
      <c r="A372" s="21" t="n"/>
      <c r="B372" s="21" t="n"/>
      <c r="C372" s="21" t="n"/>
      <c r="D372" s="5">
        <f>IF(A372="","",IF(COUNTIF(Desligados_RH!$A$2:$A$1000,A372)&gt;0,"SIM","não"))</f>
        <v/>
      </c>
      <c r="E372" s="21" t="n"/>
    </row>
    <row r="373">
      <c r="A373" s="21" t="n"/>
      <c r="B373" s="21" t="n"/>
      <c r="C373" s="21" t="n"/>
      <c r="D373" s="5">
        <f>IF(A373="","",IF(COUNTIF(Desligados_RH!$A$2:$A$1000,A373)&gt;0,"SIM","não"))</f>
        <v/>
      </c>
      <c r="E373" s="21" t="n"/>
    </row>
    <row r="374">
      <c r="A374" s="21" t="n"/>
      <c r="B374" s="21" t="n"/>
      <c r="C374" s="21" t="n"/>
      <c r="D374" s="5">
        <f>IF(A374="","",IF(COUNTIF(Desligados_RH!$A$2:$A$1000,A374)&gt;0,"SIM","não"))</f>
        <v/>
      </c>
      <c r="E374" s="21" t="n"/>
    </row>
    <row r="375">
      <c r="A375" s="21" t="n"/>
      <c r="B375" s="21" t="n"/>
      <c r="C375" s="21" t="n"/>
      <c r="D375" s="5">
        <f>IF(A375="","",IF(COUNTIF(Desligados_RH!$A$2:$A$1000,A375)&gt;0,"SIM","não"))</f>
        <v/>
      </c>
      <c r="E375" s="21" t="n"/>
    </row>
    <row r="376">
      <c r="A376" s="21" t="n"/>
      <c r="B376" s="21" t="n"/>
      <c r="C376" s="21" t="n"/>
      <c r="D376" s="5">
        <f>IF(A376="","",IF(COUNTIF(Desligados_RH!$A$2:$A$1000,A376)&gt;0,"SIM","não"))</f>
        <v/>
      </c>
      <c r="E376" s="21" t="n"/>
    </row>
    <row r="377">
      <c r="A377" s="21" t="n"/>
      <c r="B377" s="21" t="n"/>
      <c r="C377" s="21" t="n"/>
      <c r="D377" s="5">
        <f>IF(A377="","",IF(COUNTIF(Desligados_RH!$A$2:$A$1000,A377)&gt;0,"SIM","não"))</f>
        <v/>
      </c>
      <c r="E377" s="21" t="n"/>
    </row>
    <row r="378">
      <c r="A378" s="21" t="n"/>
      <c r="B378" s="21" t="n"/>
      <c r="C378" s="21" t="n"/>
      <c r="D378" s="5">
        <f>IF(A378="","",IF(COUNTIF(Desligados_RH!$A$2:$A$1000,A378)&gt;0,"SIM","não"))</f>
        <v/>
      </c>
      <c r="E378" s="21" t="n"/>
    </row>
    <row r="379">
      <c r="A379" s="21" t="n"/>
      <c r="B379" s="21" t="n"/>
      <c r="C379" s="21" t="n"/>
      <c r="D379" s="5">
        <f>IF(A379="","",IF(COUNTIF(Desligados_RH!$A$2:$A$1000,A379)&gt;0,"SIM","não"))</f>
        <v/>
      </c>
      <c r="E379" s="21" t="n"/>
    </row>
    <row r="380">
      <c r="A380" s="21" t="n"/>
      <c r="B380" s="21" t="n"/>
      <c r="C380" s="21" t="n"/>
      <c r="D380" s="5">
        <f>IF(A380="","",IF(COUNTIF(Desligados_RH!$A$2:$A$1000,A380)&gt;0,"SIM","não"))</f>
        <v/>
      </c>
      <c r="E380" s="21" t="n"/>
    </row>
    <row r="381">
      <c r="A381" s="21" t="n"/>
      <c r="B381" s="21" t="n"/>
      <c r="C381" s="21" t="n"/>
      <c r="D381" s="5">
        <f>IF(A381="","",IF(COUNTIF(Desligados_RH!$A$2:$A$1000,A381)&gt;0,"SIM","não"))</f>
        <v/>
      </c>
      <c r="E381" s="21" t="n"/>
    </row>
    <row r="382">
      <c r="A382" s="21" t="n"/>
      <c r="B382" s="21" t="n"/>
      <c r="C382" s="21" t="n"/>
      <c r="D382" s="5">
        <f>IF(A382="","",IF(COUNTIF(Desligados_RH!$A$2:$A$1000,A382)&gt;0,"SIM","não"))</f>
        <v/>
      </c>
      <c r="E382" s="21" t="n"/>
    </row>
    <row r="383">
      <c r="A383" s="21" t="n"/>
      <c r="B383" s="21" t="n"/>
      <c r="C383" s="21" t="n"/>
      <c r="D383" s="5">
        <f>IF(A383="","",IF(COUNTIF(Desligados_RH!$A$2:$A$1000,A383)&gt;0,"SIM","não"))</f>
        <v/>
      </c>
      <c r="E383" s="21" t="n"/>
    </row>
    <row r="384">
      <c r="A384" s="21" t="n"/>
      <c r="B384" s="21" t="n"/>
      <c r="C384" s="21" t="n"/>
      <c r="D384" s="5">
        <f>IF(A384="","",IF(COUNTIF(Desligados_RH!$A$2:$A$1000,A384)&gt;0,"SIM","não"))</f>
        <v/>
      </c>
      <c r="E384" s="21" t="n"/>
    </row>
    <row r="385">
      <c r="A385" s="21" t="n"/>
      <c r="B385" s="21" t="n"/>
      <c r="C385" s="21" t="n"/>
      <c r="D385" s="5">
        <f>IF(A385="","",IF(COUNTIF(Desligados_RH!$A$2:$A$1000,A385)&gt;0,"SIM","não"))</f>
        <v/>
      </c>
      <c r="E385" s="21" t="n"/>
    </row>
    <row r="386">
      <c r="A386" s="21" t="n"/>
      <c r="B386" s="21" t="n"/>
      <c r="C386" s="21" t="n"/>
      <c r="D386" s="5">
        <f>IF(A386="","",IF(COUNTIF(Desligados_RH!$A$2:$A$1000,A386)&gt;0,"SIM","não"))</f>
        <v/>
      </c>
      <c r="E386" s="21" t="n"/>
    </row>
    <row r="387">
      <c r="A387" s="21" t="n"/>
      <c r="B387" s="21" t="n"/>
      <c r="C387" s="21" t="n"/>
      <c r="D387" s="5">
        <f>IF(A387="","",IF(COUNTIF(Desligados_RH!$A$2:$A$1000,A387)&gt;0,"SIM","não"))</f>
        <v/>
      </c>
      <c r="E387" s="21" t="n"/>
    </row>
    <row r="388">
      <c r="A388" s="21" t="n"/>
      <c r="B388" s="21" t="n"/>
      <c r="C388" s="21" t="n"/>
      <c r="D388" s="5">
        <f>IF(A388="","",IF(COUNTIF(Desligados_RH!$A$2:$A$1000,A388)&gt;0,"SIM","não"))</f>
        <v/>
      </c>
      <c r="E388" s="21" t="n"/>
    </row>
    <row r="389">
      <c r="A389" s="21" t="n"/>
      <c r="B389" s="21" t="n"/>
      <c r="C389" s="21" t="n"/>
      <c r="D389" s="5">
        <f>IF(A389="","",IF(COUNTIF(Desligados_RH!$A$2:$A$1000,A389)&gt;0,"SIM","não"))</f>
        <v/>
      </c>
      <c r="E389" s="21" t="n"/>
    </row>
    <row r="390">
      <c r="A390" s="21" t="n"/>
      <c r="B390" s="21" t="n"/>
      <c r="C390" s="21" t="n"/>
      <c r="D390" s="5">
        <f>IF(A390="","",IF(COUNTIF(Desligados_RH!$A$2:$A$1000,A390)&gt;0,"SIM","não"))</f>
        <v/>
      </c>
      <c r="E390" s="21" t="n"/>
    </row>
    <row r="391">
      <c r="A391" s="21" t="n"/>
      <c r="B391" s="21" t="n"/>
      <c r="C391" s="21" t="n"/>
      <c r="D391" s="5">
        <f>IF(A391="","",IF(COUNTIF(Desligados_RH!$A$2:$A$1000,A391)&gt;0,"SIM","não"))</f>
        <v/>
      </c>
      <c r="E391" s="21" t="n"/>
    </row>
    <row r="392">
      <c r="A392" s="21" t="n"/>
      <c r="B392" s="21" t="n"/>
      <c r="C392" s="21" t="n"/>
      <c r="D392" s="5">
        <f>IF(A392="","",IF(COUNTIF(Desligados_RH!$A$2:$A$1000,A392)&gt;0,"SIM","não"))</f>
        <v/>
      </c>
      <c r="E392" s="21" t="n"/>
    </row>
    <row r="393">
      <c r="A393" s="21" t="n"/>
      <c r="B393" s="21" t="n"/>
      <c r="C393" s="21" t="n"/>
      <c r="D393" s="5">
        <f>IF(A393="","",IF(COUNTIF(Desligados_RH!$A$2:$A$1000,A393)&gt;0,"SIM","não"))</f>
        <v/>
      </c>
      <c r="E393" s="21" t="n"/>
    </row>
    <row r="394">
      <c r="A394" s="21" t="n"/>
      <c r="B394" s="21" t="n"/>
      <c r="C394" s="21" t="n"/>
      <c r="D394" s="5">
        <f>IF(A394="","",IF(COUNTIF(Desligados_RH!$A$2:$A$1000,A394)&gt;0,"SIM","não"))</f>
        <v/>
      </c>
      <c r="E394" s="21" t="n"/>
    </row>
    <row r="395">
      <c r="A395" s="21" t="n"/>
      <c r="B395" s="21" t="n"/>
      <c r="C395" s="21" t="n"/>
      <c r="D395" s="5">
        <f>IF(A395="","",IF(COUNTIF(Desligados_RH!$A$2:$A$1000,A395)&gt;0,"SIM","não"))</f>
        <v/>
      </c>
      <c r="E395" s="21" t="n"/>
    </row>
    <row r="396">
      <c r="A396" s="21" t="n"/>
      <c r="B396" s="21" t="n"/>
      <c r="C396" s="21" t="n"/>
      <c r="D396" s="5">
        <f>IF(A396="","",IF(COUNTIF(Desligados_RH!$A$2:$A$1000,A396)&gt;0,"SIM","não"))</f>
        <v/>
      </c>
      <c r="E396" s="21" t="n"/>
    </row>
    <row r="397">
      <c r="A397" s="21" t="n"/>
      <c r="B397" s="21" t="n"/>
      <c r="C397" s="21" t="n"/>
      <c r="D397" s="5">
        <f>IF(A397="","",IF(COUNTIF(Desligados_RH!$A$2:$A$1000,A397)&gt;0,"SIM","não"))</f>
        <v/>
      </c>
      <c r="E397" s="21" t="n"/>
    </row>
    <row r="398">
      <c r="A398" s="21" t="n"/>
      <c r="B398" s="21" t="n"/>
      <c r="C398" s="21" t="n"/>
      <c r="D398" s="5">
        <f>IF(A398="","",IF(COUNTIF(Desligados_RH!$A$2:$A$1000,A398)&gt;0,"SIM","não"))</f>
        <v/>
      </c>
      <c r="E398" s="21" t="n"/>
    </row>
    <row r="399">
      <c r="A399" s="21" t="n"/>
      <c r="B399" s="21" t="n"/>
      <c r="C399" s="21" t="n"/>
      <c r="D399" s="5">
        <f>IF(A399="","",IF(COUNTIF(Desligados_RH!$A$2:$A$1000,A399)&gt;0,"SIM","não"))</f>
        <v/>
      </c>
      <c r="E399" s="21" t="n"/>
    </row>
    <row r="400">
      <c r="A400" s="21" t="n"/>
      <c r="B400" s="21" t="n"/>
      <c r="C400" s="21" t="n"/>
      <c r="D400" s="5">
        <f>IF(A400="","",IF(COUNTIF(Desligados_RH!$A$2:$A$1000,A400)&gt;0,"SIM","não"))</f>
        <v/>
      </c>
      <c r="E400" s="21" t="n"/>
    </row>
    <row r="401">
      <c r="A401" s="21" t="n"/>
      <c r="B401" s="21" t="n"/>
      <c r="C401" s="21" t="n"/>
      <c r="D401" s="5">
        <f>IF(A401="","",IF(COUNTIF(Desligados_RH!$A$2:$A$1000,A401)&gt;0,"SIM","não"))</f>
        <v/>
      </c>
      <c r="E401" s="21" t="n"/>
    </row>
    <row r="402">
      <c r="A402" s="21" t="n"/>
      <c r="B402" s="21" t="n"/>
      <c r="C402" s="21" t="n"/>
      <c r="D402" s="5">
        <f>IF(A402="","",IF(COUNTIF(Desligados_RH!$A$2:$A$1000,A402)&gt;0,"SIM","não"))</f>
        <v/>
      </c>
      <c r="E402" s="21" t="n"/>
    </row>
    <row r="403">
      <c r="A403" s="21" t="n"/>
      <c r="B403" s="21" t="n"/>
      <c r="C403" s="21" t="n"/>
      <c r="D403" s="5">
        <f>IF(A403="","",IF(COUNTIF(Desligados_RH!$A$2:$A$1000,A403)&gt;0,"SIM","não"))</f>
        <v/>
      </c>
      <c r="E403" s="21" t="n"/>
    </row>
    <row r="404">
      <c r="A404" s="21" t="n"/>
      <c r="B404" s="21" t="n"/>
      <c r="C404" s="21" t="n"/>
      <c r="D404" s="5">
        <f>IF(A404="","",IF(COUNTIF(Desligados_RH!$A$2:$A$1000,A404)&gt;0,"SIM","não"))</f>
        <v/>
      </c>
      <c r="E404" s="21" t="n"/>
    </row>
    <row r="405">
      <c r="A405" s="21" t="n"/>
      <c r="B405" s="21" t="n"/>
      <c r="C405" s="21" t="n"/>
      <c r="D405" s="5">
        <f>IF(A405="","",IF(COUNTIF(Desligados_RH!$A$2:$A$1000,A405)&gt;0,"SIM","não"))</f>
        <v/>
      </c>
      <c r="E405" s="21" t="n"/>
    </row>
    <row r="406">
      <c r="A406" s="21" t="n"/>
      <c r="B406" s="21" t="n"/>
      <c r="C406" s="21" t="n"/>
      <c r="D406" s="5">
        <f>IF(A406="","",IF(COUNTIF(Desligados_RH!$A$2:$A$1000,A406)&gt;0,"SIM","não"))</f>
        <v/>
      </c>
      <c r="E406" s="21" t="n"/>
    </row>
    <row r="407">
      <c r="A407" s="21" t="n"/>
      <c r="B407" s="21" t="n"/>
      <c r="C407" s="21" t="n"/>
      <c r="D407" s="5">
        <f>IF(A407="","",IF(COUNTIF(Desligados_RH!$A$2:$A$1000,A407)&gt;0,"SIM","não"))</f>
        <v/>
      </c>
      <c r="E407" s="21" t="n"/>
    </row>
    <row r="408">
      <c r="A408" s="21" t="n"/>
      <c r="B408" s="21" t="n"/>
      <c r="C408" s="21" t="n"/>
      <c r="D408" s="5">
        <f>IF(A408="","",IF(COUNTIF(Desligados_RH!$A$2:$A$1000,A408)&gt;0,"SIM","não"))</f>
        <v/>
      </c>
      <c r="E408" s="21" t="n"/>
    </row>
    <row r="409">
      <c r="A409" s="21" t="n"/>
      <c r="B409" s="21" t="n"/>
      <c r="C409" s="21" t="n"/>
      <c r="D409" s="5">
        <f>IF(A409="","",IF(COUNTIF(Desligados_RH!$A$2:$A$1000,A409)&gt;0,"SIM","não"))</f>
        <v/>
      </c>
      <c r="E409" s="21" t="n"/>
    </row>
    <row r="410">
      <c r="A410" s="21" t="n"/>
      <c r="B410" s="21" t="n"/>
      <c r="C410" s="21" t="n"/>
      <c r="D410" s="5">
        <f>IF(A410="","",IF(COUNTIF(Desligados_RH!$A$2:$A$1000,A410)&gt;0,"SIM","não"))</f>
        <v/>
      </c>
      <c r="E410" s="21" t="n"/>
    </row>
    <row r="411">
      <c r="A411" s="21" t="n"/>
      <c r="B411" s="21" t="n"/>
      <c r="C411" s="21" t="n"/>
      <c r="D411" s="5">
        <f>IF(A411="","",IF(COUNTIF(Desligados_RH!$A$2:$A$1000,A411)&gt;0,"SIM","não"))</f>
        <v/>
      </c>
      <c r="E411" s="21" t="n"/>
    </row>
    <row r="412">
      <c r="A412" s="21" t="n"/>
      <c r="B412" s="21" t="n"/>
      <c r="C412" s="21" t="n"/>
      <c r="D412" s="5">
        <f>IF(A412="","",IF(COUNTIF(Desligados_RH!$A$2:$A$1000,A412)&gt;0,"SIM","não"))</f>
        <v/>
      </c>
      <c r="E412" s="21" t="n"/>
    </row>
    <row r="413">
      <c r="A413" s="21" t="n"/>
      <c r="B413" s="21" t="n"/>
      <c r="C413" s="21" t="n"/>
      <c r="D413" s="5">
        <f>IF(A413="","",IF(COUNTIF(Desligados_RH!$A$2:$A$1000,A413)&gt;0,"SIM","não"))</f>
        <v/>
      </c>
      <c r="E413" s="21" t="n"/>
    </row>
    <row r="414">
      <c r="A414" s="21" t="n"/>
      <c r="B414" s="21" t="n"/>
      <c r="C414" s="21" t="n"/>
      <c r="D414" s="5">
        <f>IF(A414="","",IF(COUNTIF(Desligados_RH!$A$2:$A$1000,A414)&gt;0,"SIM","não"))</f>
        <v/>
      </c>
      <c r="E414" s="21" t="n"/>
    </row>
    <row r="415">
      <c r="A415" s="21" t="n"/>
      <c r="B415" s="21" t="n"/>
      <c r="C415" s="21" t="n"/>
      <c r="D415" s="5">
        <f>IF(A415="","",IF(COUNTIF(Desligados_RH!$A$2:$A$1000,A415)&gt;0,"SIM","não"))</f>
        <v/>
      </c>
      <c r="E415" s="21" t="n"/>
    </row>
    <row r="416">
      <c r="A416" s="21" t="n"/>
      <c r="B416" s="21" t="n"/>
      <c r="C416" s="21" t="n"/>
      <c r="D416" s="5">
        <f>IF(A416="","",IF(COUNTIF(Desligados_RH!$A$2:$A$1000,A416)&gt;0,"SIM","não"))</f>
        <v/>
      </c>
      <c r="E416" s="21" t="n"/>
    </row>
    <row r="417">
      <c r="A417" s="21" t="n"/>
      <c r="B417" s="21" t="n"/>
      <c r="C417" s="21" t="n"/>
      <c r="D417" s="5">
        <f>IF(A417="","",IF(COUNTIF(Desligados_RH!$A$2:$A$1000,A417)&gt;0,"SIM","não"))</f>
        <v/>
      </c>
      <c r="E417" s="21" t="n"/>
    </row>
    <row r="418">
      <c r="A418" s="21" t="n"/>
      <c r="B418" s="21" t="n"/>
      <c r="C418" s="21" t="n"/>
      <c r="D418" s="5">
        <f>IF(A418="","",IF(COUNTIF(Desligados_RH!$A$2:$A$1000,A418)&gt;0,"SIM","não"))</f>
        <v/>
      </c>
      <c r="E418" s="21" t="n"/>
    </row>
    <row r="419">
      <c r="A419" s="21" t="n"/>
      <c r="B419" s="21" t="n"/>
      <c r="C419" s="21" t="n"/>
      <c r="D419" s="5">
        <f>IF(A419="","",IF(COUNTIF(Desligados_RH!$A$2:$A$1000,A419)&gt;0,"SIM","não"))</f>
        <v/>
      </c>
      <c r="E419" s="21" t="n"/>
    </row>
    <row r="420">
      <c r="A420" s="21" t="n"/>
      <c r="B420" s="21" t="n"/>
      <c r="C420" s="21" t="n"/>
      <c r="D420" s="5">
        <f>IF(A420="","",IF(COUNTIF(Desligados_RH!$A$2:$A$1000,A420)&gt;0,"SIM","não"))</f>
        <v/>
      </c>
      <c r="E420" s="21" t="n"/>
    </row>
    <row r="421">
      <c r="A421" s="21" t="n"/>
      <c r="B421" s="21" t="n"/>
      <c r="C421" s="21" t="n"/>
      <c r="D421" s="5">
        <f>IF(A421="","",IF(COUNTIF(Desligados_RH!$A$2:$A$1000,A421)&gt;0,"SIM","não"))</f>
        <v/>
      </c>
      <c r="E421" s="21" t="n"/>
    </row>
    <row r="422">
      <c r="A422" s="21" t="n"/>
      <c r="B422" s="21" t="n"/>
      <c r="C422" s="21" t="n"/>
      <c r="D422" s="5">
        <f>IF(A422="","",IF(COUNTIF(Desligados_RH!$A$2:$A$1000,A422)&gt;0,"SIM","não"))</f>
        <v/>
      </c>
      <c r="E422" s="21" t="n"/>
    </row>
    <row r="423">
      <c r="A423" s="21" t="n"/>
      <c r="B423" s="21" t="n"/>
      <c r="C423" s="21" t="n"/>
      <c r="D423" s="5">
        <f>IF(A423="","",IF(COUNTIF(Desligados_RH!$A$2:$A$1000,A423)&gt;0,"SIM","não"))</f>
        <v/>
      </c>
      <c r="E423" s="21" t="n"/>
    </row>
    <row r="424">
      <c r="A424" s="21" t="n"/>
      <c r="B424" s="21" t="n"/>
      <c r="C424" s="21" t="n"/>
      <c r="D424" s="5">
        <f>IF(A424="","",IF(COUNTIF(Desligados_RH!$A$2:$A$1000,A424)&gt;0,"SIM","não"))</f>
        <v/>
      </c>
      <c r="E424" s="21" t="n"/>
    </row>
    <row r="425">
      <c r="A425" s="21" t="n"/>
      <c r="B425" s="21" t="n"/>
      <c r="C425" s="21" t="n"/>
      <c r="D425" s="5">
        <f>IF(A425="","",IF(COUNTIF(Desligados_RH!$A$2:$A$1000,A425)&gt;0,"SIM","não"))</f>
        <v/>
      </c>
      <c r="E425" s="21" t="n"/>
    </row>
    <row r="426">
      <c r="A426" s="21" t="n"/>
      <c r="B426" s="21" t="n"/>
      <c r="C426" s="21" t="n"/>
      <c r="D426" s="5">
        <f>IF(A426="","",IF(COUNTIF(Desligados_RH!$A$2:$A$1000,A426)&gt;0,"SIM","não"))</f>
        <v/>
      </c>
      <c r="E426" s="21" t="n"/>
    </row>
    <row r="427">
      <c r="A427" s="21" t="n"/>
      <c r="B427" s="21" t="n"/>
      <c r="C427" s="21" t="n"/>
      <c r="D427" s="5">
        <f>IF(A427="","",IF(COUNTIF(Desligados_RH!$A$2:$A$1000,A427)&gt;0,"SIM","não"))</f>
        <v/>
      </c>
      <c r="E427" s="21" t="n"/>
    </row>
    <row r="428">
      <c r="A428" s="21" t="n"/>
      <c r="B428" s="21" t="n"/>
      <c r="C428" s="21" t="n"/>
      <c r="D428" s="5">
        <f>IF(A428="","",IF(COUNTIF(Desligados_RH!$A$2:$A$1000,A428)&gt;0,"SIM","não"))</f>
        <v/>
      </c>
      <c r="E428" s="21" t="n"/>
    </row>
    <row r="429">
      <c r="A429" s="21" t="n"/>
      <c r="B429" s="21" t="n"/>
      <c r="C429" s="21" t="n"/>
      <c r="D429" s="5">
        <f>IF(A429="","",IF(COUNTIF(Desligados_RH!$A$2:$A$1000,A429)&gt;0,"SIM","não"))</f>
        <v/>
      </c>
      <c r="E429" s="21" t="n"/>
    </row>
    <row r="430">
      <c r="A430" s="21" t="n"/>
      <c r="B430" s="21" t="n"/>
      <c r="C430" s="21" t="n"/>
      <c r="D430" s="5">
        <f>IF(A430="","",IF(COUNTIF(Desligados_RH!$A$2:$A$1000,A430)&gt;0,"SIM","não"))</f>
        <v/>
      </c>
      <c r="E430" s="21" t="n"/>
    </row>
    <row r="431">
      <c r="A431" s="21" t="n"/>
      <c r="B431" s="21" t="n"/>
      <c r="C431" s="21" t="n"/>
      <c r="D431" s="5">
        <f>IF(A431="","",IF(COUNTIF(Desligados_RH!$A$2:$A$1000,A431)&gt;0,"SIM","não"))</f>
        <v/>
      </c>
      <c r="E431" s="21" t="n"/>
    </row>
    <row r="432">
      <c r="A432" s="21" t="n"/>
      <c r="B432" s="21" t="n"/>
      <c r="C432" s="21" t="n"/>
      <c r="D432" s="5">
        <f>IF(A432="","",IF(COUNTIF(Desligados_RH!$A$2:$A$1000,A432)&gt;0,"SIM","não"))</f>
        <v/>
      </c>
      <c r="E432" s="21" t="n"/>
    </row>
    <row r="433">
      <c r="A433" s="21" t="n"/>
      <c r="B433" s="21" t="n"/>
      <c r="C433" s="21" t="n"/>
      <c r="D433" s="5">
        <f>IF(A433="","",IF(COUNTIF(Desligados_RH!$A$2:$A$1000,A433)&gt;0,"SIM","não"))</f>
        <v/>
      </c>
      <c r="E433" s="21" t="n"/>
    </row>
    <row r="434">
      <c r="A434" s="21" t="n"/>
      <c r="B434" s="21" t="n"/>
      <c r="C434" s="21" t="n"/>
      <c r="D434" s="5">
        <f>IF(A434="","",IF(COUNTIF(Desligados_RH!$A$2:$A$1000,A434)&gt;0,"SIM","não"))</f>
        <v/>
      </c>
      <c r="E434" s="21" t="n"/>
    </row>
    <row r="435">
      <c r="A435" s="21" t="n"/>
      <c r="B435" s="21" t="n"/>
      <c r="C435" s="21" t="n"/>
      <c r="D435" s="5">
        <f>IF(A435="","",IF(COUNTIF(Desligados_RH!$A$2:$A$1000,A435)&gt;0,"SIM","não"))</f>
        <v/>
      </c>
      <c r="E435" s="21" t="n"/>
    </row>
    <row r="436">
      <c r="A436" s="21" t="n"/>
      <c r="B436" s="21" t="n"/>
      <c r="C436" s="21" t="n"/>
      <c r="D436" s="5">
        <f>IF(A436="","",IF(COUNTIF(Desligados_RH!$A$2:$A$1000,A436)&gt;0,"SIM","não"))</f>
        <v/>
      </c>
      <c r="E436" s="21" t="n"/>
    </row>
    <row r="437">
      <c r="A437" s="21" t="n"/>
      <c r="B437" s="21" t="n"/>
      <c r="C437" s="21" t="n"/>
      <c r="D437" s="5">
        <f>IF(A437="","",IF(COUNTIF(Desligados_RH!$A$2:$A$1000,A437)&gt;0,"SIM","não"))</f>
        <v/>
      </c>
      <c r="E437" s="21" t="n"/>
    </row>
    <row r="438">
      <c r="A438" s="21" t="n"/>
      <c r="B438" s="21" t="n"/>
      <c r="C438" s="21" t="n"/>
      <c r="D438" s="5">
        <f>IF(A438="","",IF(COUNTIF(Desligados_RH!$A$2:$A$1000,A438)&gt;0,"SIM","não"))</f>
        <v/>
      </c>
      <c r="E438" s="21" t="n"/>
    </row>
    <row r="439">
      <c r="A439" s="21" t="n"/>
      <c r="B439" s="21" t="n"/>
      <c r="C439" s="21" t="n"/>
      <c r="D439" s="5">
        <f>IF(A439="","",IF(COUNTIF(Desligados_RH!$A$2:$A$1000,A439)&gt;0,"SIM","não"))</f>
        <v/>
      </c>
      <c r="E439" s="21" t="n"/>
    </row>
    <row r="440">
      <c r="A440" s="21" t="n"/>
      <c r="B440" s="21" t="n"/>
      <c r="C440" s="21" t="n"/>
      <c r="D440" s="5">
        <f>IF(A440="","",IF(COUNTIF(Desligados_RH!$A$2:$A$1000,A440)&gt;0,"SIM","não"))</f>
        <v/>
      </c>
      <c r="E440" s="21" t="n"/>
    </row>
    <row r="441">
      <c r="A441" s="21" t="n"/>
      <c r="B441" s="21" t="n"/>
      <c r="C441" s="21" t="n"/>
      <c r="D441" s="5">
        <f>IF(A441="","",IF(COUNTIF(Desligados_RH!$A$2:$A$1000,A441)&gt;0,"SIM","não"))</f>
        <v/>
      </c>
      <c r="E441" s="21" t="n"/>
    </row>
    <row r="442">
      <c r="A442" s="21" t="n"/>
      <c r="B442" s="21" t="n"/>
      <c r="C442" s="21" t="n"/>
      <c r="D442" s="5">
        <f>IF(A442="","",IF(COUNTIF(Desligados_RH!$A$2:$A$1000,A442)&gt;0,"SIM","não"))</f>
        <v/>
      </c>
      <c r="E442" s="21" t="n"/>
    </row>
    <row r="443">
      <c r="A443" s="21" t="n"/>
      <c r="B443" s="21" t="n"/>
      <c r="C443" s="21" t="n"/>
      <c r="D443" s="5">
        <f>IF(A443="","",IF(COUNTIF(Desligados_RH!$A$2:$A$1000,A443)&gt;0,"SIM","não"))</f>
        <v/>
      </c>
      <c r="E443" s="21" t="n"/>
    </row>
    <row r="444">
      <c r="A444" s="21" t="n"/>
      <c r="B444" s="21" t="n"/>
      <c r="C444" s="21" t="n"/>
      <c r="D444" s="5">
        <f>IF(A444="","",IF(COUNTIF(Desligados_RH!$A$2:$A$1000,A444)&gt;0,"SIM","não"))</f>
        <v/>
      </c>
      <c r="E444" s="21" t="n"/>
    </row>
    <row r="445">
      <c r="A445" s="21" t="n"/>
      <c r="B445" s="21" t="n"/>
      <c r="C445" s="21" t="n"/>
      <c r="D445" s="5">
        <f>IF(A445="","",IF(COUNTIF(Desligados_RH!$A$2:$A$1000,A445)&gt;0,"SIM","não"))</f>
        <v/>
      </c>
      <c r="E445" s="21" t="n"/>
    </row>
    <row r="446">
      <c r="A446" s="21" t="n"/>
      <c r="B446" s="21" t="n"/>
      <c r="C446" s="21" t="n"/>
      <c r="D446" s="5">
        <f>IF(A446="","",IF(COUNTIF(Desligados_RH!$A$2:$A$1000,A446)&gt;0,"SIM","não"))</f>
        <v/>
      </c>
      <c r="E446" s="21" t="n"/>
    </row>
    <row r="447">
      <c r="A447" s="21" t="n"/>
      <c r="B447" s="21" t="n"/>
      <c r="C447" s="21" t="n"/>
      <c r="D447" s="5">
        <f>IF(A447="","",IF(COUNTIF(Desligados_RH!$A$2:$A$1000,A447)&gt;0,"SIM","não"))</f>
        <v/>
      </c>
      <c r="E447" s="21" t="n"/>
    </row>
    <row r="448">
      <c r="A448" s="21" t="n"/>
      <c r="B448" s="21" t="n"/>
      <c r="C448" s="21" t="n"/>
      <c r="D448" s="5">
        <f>IF(A448="","",IF(COUNTIF(Desligados_RH!$A$2:$A$1000,A448)&gt;0,"SIM","não"))</f>
        <v/>
      </c>
      <c r="E448" s="21" t="n"/>
    </row>
    <row r="449">
      <c r="A449" s="21" t="n"/>
      <c r="B449" s="21" t="n"/>
      <c r="C449" s="21" t="n"/>
      <c r="D449" s="5">
        <f>IF(A449="","",IF(COUNTIF(Desligados_RH!$A$2:$A$1000,A449)&gt;0,"SIM","não"))</f>
        <v/>
      </c>
      <c r="E449" s="21" t="n"/>
    </row>
    <row r="450">
      <c r="A450" s="21" t="n"/>
      <c r="B450" s="21" t="n"/>
      <c r="C450" s="21" t="n"/>
      <c r="D450" s="5">
        <f>IF(A450="","",IF(COUNTIF(Desligados_RH!$A$2:$A$1000,A450)&gt;0,"SIM","não"))</f>
        <v/>
      </c>
      <c r="E450" s="21" t="n"/>
    </row>
    <row r="451">
      <c r="A451" s="21" t="n"/>
      <c r="B451" s="21" t="n"/>
      <c r="C451" s="21" t="n"/>
      <c r="D451" s="5">
        <f>IF(A451="","",IF(COUNTIF(Desligados_RH!$A$2:$A$1000,A451)&gt;0,"SIM","não"))</f>
        <v/>
      </c>
      <c r="E451" s="21" t="n"/>
    </row>
    <row r="452">
      <c r="A452" s="21" t="n"/>
      <c r="B452" s="21" t="n"/>
      <c r="C452" s="21" t="n"/>
      <c r="D452" s="5">
        <f>IF(A452="","",IF(COUNTIF(Desligados_RH!$A$2:$A$1000,A452)&gt;0,"SIM","não"))</f>
        <v/>
      </c>
      <c r="E452" s="21" t="n"/>
    </row>
    <row r="453">
      <c r="A453" s="21" t="n"/>
      <c r="B453" s="21" t="n"/>
      <c r="C453" s="21" t="n"/>
      <c r="D453" s="5">
        <f>IF(A453="","",IF(COUNTIF(Desligados_RH!$A$2:$A$1000,A453)&gt;0,"SIM","não"))</f>
        <v/>
      </c>
      <c r="E453" s="21" t="n"/>
    </row>
    <row r="454">
      <c r="A454" s="21" t="n"/>
      <c r="B454" s="21" t="n"/>
      <c r="C454" s="21" t="n"/>
      <c r="D454" s="5">
        <f>IF(A454="","",IF(COUNTIF(Desligados_RH!$A$2:$A$1000,A454)&gt;0,"SIM","não"))</f>
        <v/>
      </c>
      <c r="E454" s="21" t="n"/>
    </row>
    <row r="455">
      <c r="A455" s="21" t="n"/>
      <c r="B455" s="21" t="n"/>
      <c r="C455" s="21" t="n"/>
      <c r="D455" s="5">
        <f>IF(A455="","",IF(COUNTIF(Desligados_RH!$A$2:$A$1000,A455)&gt;0,"SIM","não"))</f>
        <v/>
      </c>
      <c r="E455" s="21" t="n"/>
    </row>
    <row r="456">
      <c r="A456" s="21" t="n"/>
      <c r="B456" s="21" t="n"/>
      <c r="C456" s="21" t="n"/>
      <c r="D456" s="5">
        <f>IF(A456="","",IF(COUNTIF(Desligados_RH!$A$2:$A$1000,A456)&gt;0,"SIM","não"))</f>
        <v/>
      </c>
      <c r="E456" s="21" t="n"/>
    </row>
    <row r="457">
      <c r="A457" s="21" t="n"/>
      <c r="B457" s="21" t="n"/>
      <c r="C457" s="21" t="n"/>
      <c r="D457" s="5">
        <f>IF(A457="","",IF(COUNTIF(Desligados_RH!$A$2:$A$1000,A457)&gt;0,"SIM","não"))</f>
        <v/>
      </c>
      <c r="E457" s="21" t="n"/>
    </row>
    <row r="458">
      <c r="A458" s="21" t="n"/>
      <c r="B458" s="21" t="n"/>
      <c r="C458" s="21" t="n"/>
      <c r="D458" s="5">
        <f>IF(A458="","",IF(COUNTIF(Desligados_RH!$A$2:$A$1000,A458)&gt;0,"SIM","não"))</f>
        <v/>
      </c>
      <c r="E458" s="21" t="n"/>
    </row>
    <row r="459">
      <c r="A459" s="21" t="n"/>
      <c r="B459" s="21" t="n"/>
      <c r="C459" s="21" t="n"/>
      <c r="D459" s="5">
        <f>IF(A459="","",IF(COUNTIF(Desligados_RH!$A$2:$A$1000,A459)&gt;0,"SIM","não"))</f>
        <v/>
      </c>
      <c r="E459" s="21" t="n"/>
    </row>
    <row r="460">
      <c r="A460" s="21" t="n"/>
      <c r="B460" s="21" t="n"/>
      <c r="C460" s="21" t="n"/>
      <c r="D460" s="5">
        <f>IF(A460="","",IF(COUNTIF(Desligados_RH!$A$2:$A$1000,A460)&gt;0,"SIM","não"))</f>
        <v/>
      </c>
      <c r="E460" s="21" t="n"/>
    </row>
    <row r="461">
      <c r="A461" s="21" t="n"/>
      <c r="B461" s="21" t="n"/>
      <c r="C461" s="21" t="n"/>
      <c r="D461" s="5">
        <f>IF(A461="","",IF(COUNTIF(Desligados_RH!$A$2:$A$1000,A461)&gt;0,"SIM","não"))</f>
        <v/>
      </c>
      <c r="E461" s="21" t="n"/>
    </row>
    <row r="462">
      <c r="A462" s="21" t="n"/>
      <c r="B462" s="21" t="n"/>
      <c r="C462" s="21" t="n"/>
      <c r="D462" s="5">
        <f>IF(A462="","",IF(COUNTIF(Desligados_RH!$A$2:$A$1000,A462)&gt;0,"SIM","não"))</f>
        <v/>
      </c>
      <c r="E462" s="21" t="n"/>
    </row>
    <row r="463">
      <c r="A463" s="21" t="n"/>
      <c r="B463" s="21" t="n"/>
      <c r="C463" s="21" t="n"/>
      <c r="D463" s="5">
        <f>IF(A463="","",IF(COUNTIF(Desligados_RH!$A$2:$A$1000,A463)&gt;0,"SIM","não"))</f>
        <v/>
      </c>
      <c r="E463" s="21" t="n"/>
    </row>
    <row r="464">
      <c r="A464" s="21" t="n"/>
      <c r="B464" s="21" t="n"/>
      <c r="C464" s="21" t="n"/>
      <c r="D464" s="5">
        <f>IF(A464="","",IF(COUNTIF(Desligados_RH!$A$2:$A$1000,A464)&gt;0,"SIM","não"))</f>
        <v/>
      </c>
      <c r="E464" s="21" t="n"/>
    </row>
    <row r="465">
      <c r="A465" s="21" t="n"/>
      <c r="B465" s="21" t="n"/>
      <c r="C465" s="21" t="n"/>
      <c r="D465" s="5">
        <f>IF(A465="","",IF(COUNTIF(Desligados_RH!$A$2:$A$1000,A465)&gt;0,"SIM","não"))</f>
        <v/>
      </c>
      <c r="E465" s="21" t="n"/>
    </row>
    <row r="466">
      <c r="A466" s="21" t="n"/>
      <c r="B466" s="21" t="n"/>
      <c r="C466" s="21" t="n"/>
      <c r="D466" s="5">
        <f>IF(A466="","",IF(COUNTIF(Desligados_RH!$A$2:$A$1000,A466)&gt;0,"SIM","não"))</f>
        <v/>
      </c>
      <c r="E466" s="21" t="n"/>
    </row>
    <row r="467">
      <c r="A467" s="21" t="n"/>
      <c r="B467" s="21" t="n"/>
      <c r="C467" s="21" t="n"/>
      <c r="D467" s="5">
        <f>IF(A467="","",IF(COUNTIF(Desligados_RH!$A$2:$A$1000,A467)&gt;0,"SIM","não"))</f>
        <v/>
      </c>
      <c r="E467" s="21" t="n"/>
    </row>
    <row r="468">
      <c r="A468" s="21" t="n"/>
      <c r="B468" s="21" t="n"/>
      <c r="C468" s="21" t="n"/>
      <c r="D468" s="5">
        <f>IF(A468="","",IF(COUNTIF(Desligados_RH!$A$2:$A$1000,A468)&gt;0,"SIM","não"))</f>
        <v/>
      </c>
      <c r="E468" s="21" t="n"/>
    </row>
    <row r="469">
      <c r="A469" s="21" t="n"/>
      <c r="B469" s="21" t="n"/>
      <c r="C469" s="21" t="n"/>
      <c r="D469" s="5">
        <f>IF(A469="","",IF(COUNTIF(Desligados_RH!$A$2:$A$1000,A469)&gt;0,"SIM","não"))</f>
        <v/>
      </c>
      <c r="E469" s="21" t="n"/>
    </row>
    <row r="470">
      <c r="A470" s="21" t="n"/>
      <c r="B470" s="21" t="n"/>
      <c r="C470" s="21" t="n"/>
      <c r="D470" s="5">
        <f>IF(A470="","",IF(COUNTIF(Desligados_RH!$A$2:$A$1000,A470)&gt;0,"SIM","não"))</f>
        <v/>
      </c>
      <c r="E470" s="21" t="n"/>
    </row>
    <row r="471">
      <c r="A471" s="21" t="n"/>
      <c r="B471" s="21" t="n"/>
      <c r="C471" s="21" t="n"/>
      <c r="D471" s="5">
        <f>IF(A471="","",IF(COUNTIF(Desligados_RH!$A$2:$A$1000,A471)&gt;0,"SIM","não"))</f>
        <v/>
      </c>
      <c r="E471" s="21" t="n"/>
    </row>
    <row r="472">
      <c r="A472" s="21" t="n"/>
      <c r="B472" s="21" t="n"/>
      <c r="C472" s="21" t="n"/>
      <c r="D472" s="5">
        <f>IF(A472="","",IF(COUNTIF(Desligados_RH!$A$2:$A$1000,A472)&gt;0,"SIM","não"))</f>
        <v/>
      </c>
      <c r="E472" s="21" t="n"/>
    </row>
    <row r="473">
      <c r="A473" s="21" t="n"/>
      <c r="B473" s="21" t="n"/>
      <c r="C473" s="21" t="n"/>
      <c r="D473" s="5">
        <f>IF(A473="","",IF(COUNTIF(Desligados_RH!$A$2:$A$1000,A473)&gt;0,"SIM","não"))</f>
        <v/>
      </c>
      <c r="E473" s="21" t="n"/>
    </row>
    <row r="474">
      <c r="A474" s="21" t="n"/>
      <c r="B474" s="21" t="n"/>
      <c r="C474" s="21" t="n"/>
      <c r="D474" s="5">
        <f>IF(A474="","",IF(COUNTIF(Desligados_RH!$A$2:$A$1000,A474)&gt;0,"SIM","não"))</f>
        <v/>
      </c>
      <c r="E474" s="21" t="n"/>
    </row>
    <row r="475">
      <c r="A475" s="21" t="n"/>
      <c r="B475" s="21" t="n"/>
      <c r="C475" s="21" t="n"/>
      <c r="D475" s="5">
        <f>IF(A475="","",IF(COUNTIF(Desligados_RH!$A$2:$A$1000,A475)&gt;0,"SIM","não"))</f>
        <v/>
      </c>
      <c r="E475" s="21" t="n"/>
    </row>
    <row r="476">
      <c r="A476" s="21" t="n"/>
      <c r="B476" s="21" t="n"/>
      <c r="C476" s="21" t="n"/>
      <c r="D476" s="5">
        <f>IF(A476="","",IF(COUNTIF(Desligados_RH!$A$2:$A$1000,A476)&gt;0,"SIM","não"))</f>
        <v/>
      </c>
      <c r="E476" s="21" t="n"/>
    </row>
    <row r="477">
      <c r="A477" s="21" t="n"/>
      <c r="B477" s="21" t="n"/>
      <c r="C477" s="21" t="n"/>
      <c r="D477" s="5">
        <f>IF(A477="","",IF(COUNTIF(Desligados_RH!$A$2:$A$1000,A477)&gt;0,"SIM","não"))</f>
        <v/>
      </c>
      <c r="E477" s="21" t="n"/>
    </row>
    <row r="478">
      <c r="A478" s="21" t="n"/>
      <c r="B478" s="21" t="n"/>
      <c r="C478" s="21" t="n"/>
      <c r="D478" s="5">
        <f>IF(A478="","",IF(COUNTIF(Desligados_RH!$A$2:$A$1000,A478)&gt;0,"SIM","não"))</f>
        <v/>
      </c>
      <c r="E478" s="21" t="n"/>
    </row>
    <row r="479">
      <c r="A479" s="21" t="n"/>
      <c r="B479" s="21" t="n"/>
      <c r="C479" s="21" t="n"/>
      <c r="D479" s="5">
        <f>IF(A479="","",IF(COUNTIF(Desligados_RH!$A$2:$A$1000,A479)&gt;0,"SIM","não"))</f>
        <v/>
      </c>
      <c r="E479" s="21" t="n"/>
    </row>
    <row r="480">
      <c r="A480" s="21" t="n"/>
      <c r="B480" s="21" t="n"/>
      <c r="C480" s="21" t="n"/>
      <c r="D480" s="5">
        <f>IF(A480="","",IF(COUNTIF(Desligados_RH!$A$2:$A$1000,A480)&gt;0,"SIM","não"))</f>
        <v/>
      </c>
      <c r="E480" s="21" t="n"/>
    </row>
    <row r="481">
      <c r="A481" s="21" t="n"/>
      <c r="B481" s="21" t="n"/>
      <c r="C481" s="21" t="n"/>
      <c r="D481" s="5">
        <f>IF(A481="","",IF(COUNTIF(Desligados_RH!$A$2:$A$1000,A481)&gt;0,"SIM","não"))</f>
        <v/>
      </c>
      <c r="E481" s="21" t="n"/>
    </row>
    <row r="482">
      <c r="A482" s="21" t="n"/>
      <c r="B482" s="21" t="n"/>
      <c r="C482" s="21" t="n"/>
      <c r="D482" s="5">
        <f>IF(A482="","",IF(COUNTIF(Desligados_RH!$A$2:$A$1000,A482)&gt;0,"SIM","não"))</f>
        <v/>
      </c>
      <c r="E482" s="21" t="n"/>
    </row>
    <row r="483">
      <c r="A483" s="21" t="n"/>
      <c r="B483" s="21" t="n"/>
      <c r="C483" s="21" t="n"/>
      <c r="D483" s="5">
        <f>IF(A483="","",IF(COUNTIF(Desligados_RH!$A$2:$A$1000,A483)&gt;0,"SIM","não"))</f>
        <v/>
      </c>
      <c r="E483" s="21" t="n"/>
    </row>
    <row r="484">
      <c r="A484" s="21" t="n"/>
      <c r="B484" s="21" t="n"/>
      <c r="C484" s="21" t="n"/>
      <c r="D484" s="5">
        <f>IF(A484="","",IF(COUNTIF(Desligados_RH!$A$2:$A$1000,A484)&gt;0,"SIM","não"))</f>
        <v/>
      </c>
      <c r="E484" s="21" t="n"/>
    </row>
    <row r="485">
      <c r="A485" s="21" t="n"/>
      <c r="B485" s="21" t="n"/>
      <c r="C485" s="21" t="n"/>
      <c r="D485" s="5">
        <f>IF(A485="","",IF(COUNTIF(Desligados_RH!$A$2:$A$1000,A485)&gt;0,"SIM","não"))</f>
        <v/>
      </c>
      <c r="E485" s="21" t="n"/>
    </row>
    <row r="486">
      <c r="A486" s="21" t="n"/>
      <c r="B486" s="21" t="n"/>
      <c r="C486" s="21" t="n"/>
      <c r="D486" s="5">
        <f>IF(A486="","",IF(COUNTIF(Desligados_RH!$A$2:$A$1000,A486)&gt;0,"SIM","não"))</f>
        <v/>
      </c>
      <c r="E486" s="21" t="n"/>
    </row>
    <row r="487">
      <c r="A487" s="21" t="n"/>
      <c r="B487" s="21" t="n"/>
      <c r="C487" s="21" t="n"/>
      <c r="D487" s="5">
        <f>IF(A487="","",IF(COUNTIF(Desligados_RH!$A$2:$A$1000,A487)&gt;0,"SIM","não"))</f>
        <v/>
      </c>
      <c r="E487" s="21" t="n"/>
    </row>
    <row r="488">
      <c r="A488" s="21" t="n"/>
      <c r="B488" s="21" t="n"/>
      <c r="C488" s="21" t="n"/>
      <c r="D488" s="5">
        <f>IF(A488="","",IF(COUNTIF(Desligados_RH!$A$2:$A$1000,A488)&gt;0,"SIM","não"))</f>
        <v/>
      </c>
      <c r="E488" s="21" t="n"/>
    </row>
    <row r="489">
      <c r="A489" s="21" t="n"/>
      <c r="B489" s="21" t="n"/>
      <c r="C489" s="21" t="n"/>
      <c r="D489" s="5">
        <f>IF(A489="","",IF(COUNTIF(Desligados_RH!$A$2:$A$1000,A489)&gt;0,"SIM","não"))</f>
        <v/>
      </c>
      <c r="E489" s="21" t="n"/>
    </row>
    <row r="490">
      <c r="A490" s="21" t="n"/>
      <c r="B490" s="21" t="n"/>
      <c r="C490" s="21" t="n"/>
      <c r="D490" s="5">
        <f>IF(A490="","",IF(COUNTIF(Desligados_RH!$A$2:$A$1000,A490)&gt;0,"SIM","não"))</f>
        <v/>
      </c>
      <c r="E490" s="21" t="n"/>
    </row>
    <row r="491">
      <c r="A491" s="21" t="n"/>
      <c r="B491" s="21" t="n"/>
      <c r="C491" s="21" t="n"/>
      <c r="D491" s="5">
        <f>IF(A491="","",IF(COUNTIF(Desligados_RH!$A$2:$A$1000,A491)&gt;0,"SIM","não"))</f>
        <v/>
      </c>
      <c r="E491" s="21" t="n"/>
    </row>
    <row r="492">
      <c r="A492" s="21" t="n"/>
      <c r="B492" s="21" t="n"/>
      <c r="C492" s="21" t="n"/>
      <c r="D492" s="5">
        <f>IF(A492="","",IF(COUNTIF(Desligados_RH!$A$2:$A$1000,A492)&gt;0,"SIM","não"))</f>
        <v/>
      </c>
      <c r="E492" s="21" t="n"/>
    </row>
    <row r="493">
      <c r="A493" s="21" t="n"/>
      <c r="B493" s="21" t="n"/>
      <c r="C493" s="21" t="n"/>
      <c r="D493" s="5">
        <f>IF(A493="","",IF(COUNTIF(Desligados_RH!$A$2:$A$1000,A493)&gt;0,"SIM","não"))</f>
        <v/>
      </c>
      <c r="E493" s="21" t="n"/>
    </row>
    <row r="494">
      <c r="A494" s="21" t="n"/>
      <c r="B494" s="21" t="n"/>
      <c r="C494" s="21" t="n"/>
      <c r="D494" s="5">
        <f>IF(A494="","",IF(COUNTIF(Desligados_RH!$A$2:$A$1000,A494)&gt;0,"SIM","não"))</f>
        <v/>
      </c>
      <c r="E494" s="21" t="n"/>
    </row>
    <row r="495">
      <c r="A495" s="21" t="n"/>
      <c r="B495" s="21" t="n"/>
      <c r="C495" s="21" t="n"/>
      <c r="D495" s="5">
        <f>IF(A495="","",IF(COUNTIF(Desligados_RH!$A$2:$A$1000,A495)&gt;0,"SIM","não"))</f>
        <v/>
      </c>
      <c r="E495" s="21" t="n"/>
    </row>
    <row r="496">
      <c r="A496" s="21" t="n"/>
      <c r="B496" s="21" t="n"/>
      <c r="C496" s="21" t="n"/>
      <c r="D496" s="5">
        <f>IF(A496="","",IF(COUNTIF(Desligados_RH!$A$2:$A$1000,A496)&gt;0,"SIM","não"))</f>
        <v/>
      </c>
      <c r="E496" s="21" t="n"/>
    </row>
    <row r="497">
      <c r="A497" s="21" t="n"/>
      <c r="B497" s="21" t="n"/>
      <c r="C497" s="21" t="n"/>
      <c r="D497" s="5">
        <f>IF(A497="","",IF(COUNTIF(Desligados_RH!$A$2:$A$1000,A497)&gt;0,"SIM","não"))</f>
        <v/>
      </c>
      <c r="E497" s="21" t="n"/>
    </row>
    <row r="498">
      <c r="A498" s="21" t="n"/>
      <c r="B498" s="21" t="n"/>
      <c r="C498" s="21" t="n"/>
      <c r="D498" s="5">
        <f>IF(A498="","",IF(COUNTIF(Desligados_RH!$A$2:$A$1000,A498)&gt;0,"SIM","não"))</f>
        <v/>
      </c>
      <c r="E498" s="21" t="n"/>
    </row>
    <row r="499">
      <c r="A499" s="21" t="n"/>
      <c r="B499" s="21" t="n"/>
      <c r="C499" s="21" t="n"/>
      <c r="D499" s="5">
        <f>IF(A499="","",IF(COUNTIF(Desligados_RH!$A$2:$A$1000,A499)&gt;0,"SIM","não"))</f>
        <v/>
      </c>
      <c r="E499" s="21" t="n"/>
    </row>
    <row r="500">
      <c r="A500" s="21" t="n"/>
      <c r="B500" s="21" t="n"/>
      <c r="C500" s="21" t="n"/>
      <c r="D500" s="5">
        <f>IF(A500="","",IF(COUNTIF(Desligados_RH!$A$2:$A$1000,A500)&gt;0,"SIM","não"))</f>
        <v/>
      </c>
      <c r="E500" s="21" t="n"/>
    </row>
    <row r="501">
      <c r="A501" s="21" t="n"/>
      <c r="B501" s="21" t="n"/>
      <c r="C501" s="21" t="n"/>
      <c r="D501" s="5">
        <f>IF(A501="","",IF(COUNTIF(Desligados_RH!$A$2:$A$1000,A501)&gt;0,"SIM","não"))</f>
        <v/>
      </c>
      <c r="E501" s="21" t="n"/>
    </row>
  </sheetData>
  <conditionalFormatting sqref="D2:D501">
    <cfRule type="expression" priority="1" dxfId="0">
      <formula>$D2="SIM"</formula>
    </cfRule>
  </conditionalFormatting>
  <dataValidations count="1">
    <dataValidation sqref="E2:E501" showDropDown="0" showInputMessage="0" showErrorMessage="0" allowBlank="1" type="list">
      <formula1>"Desabilitada,Mantida (justificar),Em análise"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1" t="inlineStr">
        <is>
          <t>Login (SamAccountName) informado pelo RH</t>
        </is>
      </c>
      <c r="B1" s="11" t="inlineStr">
        <is>
          <t>Data do desligamento</t>
        </is>
      </c>
    </row>
    <row r="2">
      <c r="A2" s="20" t="inlineStr">
        <is>
          <t>usuario.exemplo</t>
        </is>
      </c>
      <c r="B2" s="20" t="inlineStr">
        <is>
          <t>30/04/2026</t>
        </is>
      </c>
    </row>
    <row r="3">
      <c r="A3" s="21" t="n"/>
      <c r="B3" s="21" t="n"/>
    </row>
    <row r="4">
      <c r="A4" s="21" t="n"/>
      <c r="B4" s="21" t="n"/>
    </row>
    <row r="5">
      <c r="A5" s="21" t="n"/>
      <c r="B5" s="21" t="n"/>
    </row>
    <row r="6">
      <c r="A6" s="21" t="n"/>
      <c r="B6" s="21" t="n"/>
    </row>
    <row r="7">
      <c r="A7" s="21" t="n"/>
      <c r="B7" s="21" t="n"/>
    </row>
    <row r="8">
      <c r="A8" s="21" t="n"/>
      <c r="B8" s="21" t="n"/>
    </row>
    <row r="9">
      <c r="A9" s="21" t="n"/>
      <c r="B9" s="21" t="n"/>
    </row>
    <row r="10">
      <c r="A10" s="21" t="n"/>
      <c r="B10" s="21" t="n"/>
    </row>
    <row r="11">
      <c r="A11" s="21" t="n"/>
      <c r="B11" s="21" t="n"/>
    </row>
    <row r="12">
      <c r="A12" s="21" t="n"/>
      <c r="B12" s="21" t="n"/>
    </row>
    <row r="13">
      <c r="A13" s="21" t="n"/>
      <c r="B13" s="21" t="n"/>
    </row>
    <row r="14">
      <c r="A14" s="21" t="n"/>
      <c r="B14" s="21" t="n"/>
    </row>
    <row r="15">
      <c r="A15" s="21" t="n"/>
      <c r="B15" s="21" t="n"/>
    </row>
    <row r="16">
      <c r="A16" s="21" t="n"/>
      <c r="B16" s="21" t="n"/>
    </row>
    <row r="17">
      <c r="A17" s="21" t="n"/>
      <c r="B17" s="21" t="n"/>
    </row>
    <row r="18">
      <c r="A18" s="21" t="n"/>
      <c r="B18" s="21" t="n"/>
    </row>
    <row r="19">
      <c r="A19" s="21" t="n"/>
      <c r="B19" s="21" t="n"/>
    </row>
    <row r="20">
      <c r="A20" s="21" t="n"/>
      <c r="B20" s="21" t="n"/>
    </row>
    <row r="21">
      <c r="A21" s="21" t="n"/>
      <c r="B21" s="21" t="n"/>
    </row>
    <row r="22">
      <c r="A22" s="21" t="n"/>
      <c r="B22" s="21" t="n"/>
    </row>
    <row r="23">
      <c r="A23" s="21" t="n"/>
      <c r="B23" s="21" t="n"/>
    </row>
    <row r="24">
      <c r="A24" s="21" t="n"/>
      <c r="B24" s="21" t="n"/>
    </row>
    <row r="25">
      <c r="A25" s="21" t="n"/>
      <c r="B25" s="21" t="n"/>
    </row>
    <row r="26">
      <c r="A26" s="21" t="n"/>
      <c r="B26" s="21" t="n"/>
    </row>
    <row r="27">
      <c r="A27" s="21" t="n"/>
      <c r="B27" s="21" t="n"/>
    </row>
    <row r="28">
      <c r="A28" s="21" t="n"/>
      <c r="B28" s="21" t="n"/>
    </row>
    <row r="29">
      <c r="A29" s="21" t="n"/>
      <c r="B29" s="21" t="n"/>
    </row>
    <row r="30">
      <c r="A30" s="21" t="n"/>
      <c r="B30" s="21" t="n"/>
    </row>
    <row r="31">
      <c r="A31" s="21" t="n"/>
      <c r="B31" s="21" t="n"/>
    </row>
    <row r="32">
      <c r="A32" s="21" t="n"/>
      <c r="B32" s="21" t="n"/>
    </row>
    <row r="33">
      <c r="A33" s="21" t="n"/>
      <c r="B33" s="21" t="n"/>
    </row>
    <row r="34">
      <c r="A34" s="21" t="n"/>
      <c r="B34" s="21" t="n"/>
    </row>
    <row r="35">
      <c r="A35" s="21" t="n"/>
      <c r="B35" s="21" t="n"/>
    </row>
    <row r="36">
      <c r="A36" s="21" t="n"/>
      <c r="B36" s="21" t="n"/>
    </row>
    <row r="37">
      <c r="A37" s="21" t="n"/>
      <c r="B37" s="21" t="n"/>
    </row>
    <row r="38">
      <c r="A38" s="21" t="n"/>
      <c r="B38" s="21" t="n"/>
    </row>
    <row r="39">
      <c r="A39" s="21" t="n"/>
      <c r="B39" s="21" t="n"/>
    </row>
    <row r="40">
      <c r="A40" s="21" t="n"/>
      <c r="B40" s="21" t="n"/>
    </row>
    <row r="41">
      <c r="A41" s="21" t="n"/>
      <c r="B41" s="21" t="n"/>
    </row>
    <row r="42">
      <c r="A42" s="21" t="n"/>
      <c r="B42" s="21" t="n"/>
    </row>
    <row r="43">
      <c r="A43" s="21" t="n"/>
      <c r="B43" s="21" t="n"/>
    </row>
    <row r="44">
      <c r="A44" s="21" t="n"/>
      <c r="B44" s="21" t="n"/>
    </row>
    <row r="45">
      <c r="A45" s="21" t="n"/>
      <c r="B45" s="21" t="n"/>
    </row>
    <row r="46">
      <c r="A46" s="21" t="n"/>
      <c r="B46" s="21" t="n"/>
    </row>
    <row r="47">
      <c r="A47" s="21" t="n"/>
      <c r="B47" s="21" t="n"/>
    </row>
    <row r="48">
      <c r="A48" s="21" t="n"/>
      <c r="B48" s="21" t="n"/>
    </row>
    <row r="49">
      <c r="A49" s="21" t="n"/>
      <c r="B49" s="21" t="n"/>
    </row>
    <row r="50">
      <c r="A50" s="21" t="n"/>
      <c r="B50" s="21" t="n"/>
    </row>
    <row r="51">
      <c r="A51" s="21" t="n"/>
      <c r="B51" s="21" t="n"/>
    </row>
    <row r="52">
      <c r="A52" s="21" t="n"/>
      <c r="B52" s="21" t="n"/>
    </row>
    <row r="53">
      <c r="A53" s="21" t="n"/>
      <c r="B53" s="21" t="n"/>
    </row>
    <row r="54">
      <c r="A54" s="21" t="n"/>
      <c r="B54" s="21" t="n"/>
    </row>
    <row r="55">
      <c r="A55" s="21" t="n"/>
      <c r="B55" s="21" t="n"/>
    </row>
    <row r="56">
      <c r="A56" s="21" t="n"/>
      <c r="B56" s="21" t="n"/>
    </row>
    <row r="57">
      <c r="A57" s="21" t="n"/>
      <c r="B57" s="21" t="n"/>
    </row>
    <row r="58">
      <c r="A58" s="21" t="n"/>
      <c r="B58" s="21" t="n"/>
    </row>
    <row r="59">
      <c r="A59" s="21" t="n"/>
      <c r="B59" s="21" t="n"/>
    </row>
    <row r="60">
      <c r="A60" s="21" t="n"/>
      <c r="B60" s="21" t="n"/>
    </row>
    <row r="61">
      <c r="A61" s="21" t="n"/>
      <c r="B61" s="21" t="n"/>
    </row>
    <row r="62">
      <c r="A62" s="21" t="n"/>
      <c r="B62" s="21" t="n"/>
    </row>
    <row r="63">
      <c r="A63" s="21" t="n"/>
      <c r="B63" s="21" t="n"/>
    </row>
    <row r="64">
      <c r="A64" s="21" t="n"/>
      <c r="B64" s="21" t="n"/>
    </row>
    <row r="65">
      <c r="A65" s="21" t="n"/>
      <c r="B65" s="21" t="n"/>
    </row>
    <row r="66">
      <c r="A66" s="21" t="n"/>
      <c r="B66" s="21" t="n"/>
    </row>
    <row r="67">
      <c r="A67" s="21" t="n"/>
      <c r="B67" s="21" t="n"/>
    </row>
    <row r="68">
      <c r="A68" s="21" t="n"/>
      <c r="B68" s="21" t="n"/>
    </row>
    <row r="69">
      <c r="A69" s="21" t="n"/>
      <c r="B69" s="21" t="n"/>
    </row>
    <row r="70">
      <c r="A70" s="21" t="n"/>
      <c r="B70" s="21" t="n"/>
    </row>
    <row r="71">
      <c r="A71" s="21" t="n"/>
      <c r="B71" s="21" t="n"/>
    </row>
    <row r="72">
      <c r="A72" s="21" t="n"/>
      <c r="B72" s="21" t="n"/>
    </row>
    <row r="73">
      <c r="A73" s="21" t="n"/>
      <c r="B73" s="21" t="n"/>
    </row>
    <row r="74">
      <c r="A74" s="21" t="n"/>
      <c r="B74" s="21" t="n"/>
    </row>
    <row r="75">
      <c r="A75" s="21" t="n"/>
      <c r="B75" s="21" t="n"/>
    </row>
    <row r="76">
      <c r="A76" s="21" t="n"/>
      <c r="B76" s="21" t="n"/>
    </row>
    <row r="77">
      <c r="A77" s="21" t="n"/>
      <c r="B77" s="21" t="n"/>
    </row>
    <row r="78">
      <c r="A78" s="21" t="n"/>
      <c r="B78" s="21" t="n"/>
    </row>
    <row r="79">
      <c r="A79" s="21" t="n"/>
      <c r="B79" s="21" t="n"/>
    </row>
    <row r="80">
      <c r="A80" s="21" t="n"/>
      <c r="B80" s="21" t="n"/>
    </row>
    <row r="81">
      <c r="A81" s="21" t="n"/>
      <c r="B81" s="21" t="n"/>
    </row>
    <row r="82">
      <c r="A82" s="21" t="n"/>
      <c r="B82" s="21" t="n"/>
    </row>
    <row r="83">
      <c r="A83" s="21" t="n"/>
      <c r="B83" s="21" t="n"/>
    </row>
    <row r="84">
      <c r="A84" s="21" t="n"/>
      <c r="B84" s="21" t="n"/>
    </row>
    <row r="85">
      <c r="A85" s="21" t="n"/>
      <c r="B85" s="21" t="n"/>
    </row>
    <row r="86">
      <c r="A86" s="21" t="n"/>
      <c r="B86" s="21" t="n"/>
    </row>
    <row r="87">
      <c r="A87" s="21" t="n"/>
      <c r="B87" s="21" t="n"/>
    </row>
    <row r="88">
      <c r="A88" s="21" t="n"/>
      <c r="B88" s="21" t="n"/>
    </row>
    <row r="89">
      <c r="A89" s="21" t="n"/>
      <c r="B89" s="21" t="n"/>
    </row>
    <row r="90">
      <c r="A90" s="21" t="n"/>
      <c r="B90" s="21" t="n"/>
    </row>
    <row r="91">
      <c r="A91" s="21" t="n"/>
      <c r="B91" s="21" t="n"/>
    </row>
    <row r="92">
      <c r="A92" s="21" t="n"/>
      <c r="B92" s="21" t="n"/>
    </row>
    <row r="93">
      <c r="A93" s="21" t="n"/>
      <c r="B93" s="21" t="n"/>
    </row>
    <row r="94">
      <c r="A94" s="21" t="n"/>
      <c r="B94" s="21" t="n"/>
    </row>
    <row r="95">
      <c r="A95" s="21" t="n"/>
      <c r="B95" s="21" t="n"/>
    </row>
    <row r="96">
      <c r="A96" s="21" t="n"/>
      <c r="B96" s="21" t="n"/>
    </row>
    <row r="97">
      <c r="A97" s="21" t="n"/>
      <c r="B97" s="21" t="n"/>
    </row>
    <row r="98">
      <c r="A98" s="21" t="n"/>
      <c r="B98" s="21" t="n"/>
    </row>
    <row r="99">
      <c r="A99" s="21" t="n"/>
      <c r="B99" s="21" t="n"/>
    </row>
    <row r="100">
      <c r="A100" s="21" t="n"/>
      <c r="B100" s="21" t="n"/>
    </row>
    <row r="101">
      <c r="A101" s="21" t="n"/>
      <c r="B101" s="21" t="n"/>
    </row>
    <row r="102">
      <c r="A102" s="21" t="n"/>
      <c r="B102" s="21" t="n"/>
    </row>
    <row r="103">
      <c r="A103" s="21" t="n"/>
      <c r="B103" s="21" t="n"/>
    </row>
    <row r="104">
      <c r="A104" s="21" t="n"/>
      <c r="B104" s="21" t="n"/>
    </row>
    <row r="105">
      <c r="A105" s="21" t="n"/>
      <c r="B105" s="21" t="n"/>
    </row>
    <row r="106">
      <c r="A106" s="21" t="n"/>
      <c r="B106" s="21" t="n"/>
    </row>
    <row r="107">
      <c r="A107" s="21" t="n"/>
      <c r="B107" s="21" t="n"/>
    </row>
    <row r="108">
      <c r="A108" s="21" t="n"/>
      <c r="B108" s="21" t="n"/>
    </row>
    <row r="109">
      <c r="A109" s="21" t="n"/>
      <c r="B109" s="21" t="n"/>
    </row>
    <row r="110">
      <c r="A110" s="21" t="n"/>
      <c r="B110" s="21" t="n"/>
    </row>
    <row r="111">
      <c r="A111" s="21" t="n"/>
      <c r="B111" s="21" t="n"/>
    </row>
    <row r="112">
      <c r="A112" s="21" t="n"/>
      <c r="B112" s="21" t="n"/>
    </row>
    <row r="113">
      <c r="A113" s="21" t="n"/>
      <c r="B113" s="21" t="n"/>
    </row>
    <row r="114">
      <c r="A114" s="21" t="n"/>
      <c r="B114" s="21" t="n"/>
    </row>
    <row r="115">
      <c r="A115" s="21" t="n"/>
      <c r="B115" s="21" t="n"/>
    </row>
    <row r="116">
      <c r="A116" s="21" t="n"/>
      <c r="B116" s="21" t="n"/>
    </row>
    <row r="117">
      <c r="A117" s="21" t="n"/>
      <c r="B117" s="21" t="n"/>
    </row>
    <row r="118">
      <c r="A118" s="21" t="n"/>
      <c r="B118" s="21" t="n"/>
    </row>
    <row r="119">
      <c r="A119" s="21" t="n"/>
      <c r="B119" s="21" t="n"/>
    </row>
    <row r="120">
      <c r="A120" s="21" t="n"/>
      <c r="B120" s="21" t="n"/>
    </row>
    <row r="121">
      <c r="A121" s="21" t="n"/>
      <c r="B121" s="21" t="n"/>
    </row>
    <row r="122">
      <c r="A122" s="21" t="n"/>
      <c r="B122" s="21" t="n"/>
    </row>
    <row r="123">
      <c r="A123" s="21" t="n"/>
      <c r="B123" s="21" t="n"/>
    </row>
    <row r="124">
      <c r="A124" s="21" t="n"/>
      <c r="B124" s="21" t="n"/>
    </row>
    <row r="125">
      <c r="A125" s="21" t="n"/>
      <c r="B125" s="21" t="n"/>
    </row>
    <row r="126">
      <c r="A126" s="21" t="n"/>
      <c r="B126" s="21" t="n"/>
    </row>
    <row r="127">
      <c r="A127" s="21" t="n"/>
      <c r="B127" s="21" t="n"/>
    </row>
    <row r="128">
      <c r="A128" s="21" t="n"/>
      <c r="B128" s="21" t="n"/>
    </row>
    <row r="129">
      <c r="A129" s="21" t="n"/>
      <c r="B129" s="21" t="n"/>
    </row>
    <row r="130">
      <c r="A130" s="21" t="n"/>
      <c r="B130" s="21" t="n"/>
    </row>
    <row r="131">
      <c r="A131" s="21" t="n"/>
      <c r="B131" s="21" t="n"/>
    </row>
    <row r="132">
      <c r="A132" s="21" t="n"/>
      <c r="B132" s="21" t="n"/>
    </row>
    <row r="133">
      <c r="A133" s="21" t="n"/>
      <c r="B133" s="21" t="n"/>
    </row>
    <row r="134">
      <c r="A134" s="21" t="n"/>
      <c r="B134" s="21" t="n"/>
    </row>
    <row r="135">
      <c r="A135" s="21" t="n"/>
      <c r="B135" s="21" t="n"/>
    </row>
    <row r="136">
      <c r="A136" s="21" t="n"/>
      <c r="B136" s="21" t="n"/>
    </row>
    <row r="137">
      <c r="A137" s="21" t="n"/>
      <c r="B137" s="21" t="n"/>
    </row>
    <row r="138">
      <c r="A138" s="21" t="n"/>
      <c r="B138" s="21" t="n"/>
    </row>
    <row r="139">
      <c r="A139" s="21" t="n"/>
      <c r="B139" s="21" t="n"/>
    </row>
    <row r="140">
      <c r="A140" s="21" t="n"/>
      <c r="B140" s="21" t="n"/>
    </row>
    <row r="141">
      <c r="A141" s="21" t="n"/>
      <c r="B141" s="21" t="n"/>
    </row>
    <row r="142">
      <c r="A142" s="21" t="n"/>
      <c r="B142" s="21" t="n"/>
    </row>
    <row r="143">
      <c r="A143" s="21" t="n"/>
      <c r="B143" s="21" t="n"/>
    </row>
    <row r="144">
      <c r="A144" s="21" t="n"/>
      <c r="B144" s="21" t="n"/>
    </row>
    <row r="145">
      <c r="A145" s="21" t="n"/>
      <c r="B145" s="21" t="n"/>
    </row>
    <row r="146">
      <c r="A146" s="21" t="n"/>
      <c r="B146" s="21" t="n"/>
    </row>
    <row r="147">
      <c r="A147" s="21" t="n"/>
      <c r="B147" s="21" t="n"/>
    </row>
    <row r="148">
      <c r="A148" s="21" t="n"/>
      <c r="B148" s="21" t="n"/>
    </row>
    <row r="149">
      <c r="A149" s="21" t="n"/>
      <c r="B149" s="21" t="n"/>
    </row>
    <row r="150">
      <c r="A150" s="21" t="n"/>
      <c r="B150" s="21" t="n"/>
    </row>
    <row r="151">
      <c r="A151" s="21" t="n"/>
      <c r="B151" s="21" t="n"/>
    </row>
    <row r="152">
      <c r="A152" s="21" t="n"/>
      <c r="B152" s="21" t="n"/>
    </row>
    <row r="153">
      <c r="A153" s="21" t="n"/>
      <c r="B153" s="21" t="n"/>
    </row>
    <row r="154">
      <c r="A154" s="21" t="n"/>
      <c r="B154" s="21" t="n"/>
    </row>
    <row r="155">
      <c r="A155" s="21" t="n"/>
      <c r="B155" s="21" t="n"/>
    </row>
    <row r="156">
      <c r="A156" s="21" t="n"/>
      <c r="B156" s="21" t="n"/>
    </row>
    <row r="157">
      <c r="A157" s="21" t="n"/>
      <c r="B157" s="21" t="n"/>
    </row>
    <row r="158">
      <c r="A158" s="21" t="n"/>
      <c r="B158" s="21" t="n"/>
    </row>
    <row r="159">
      <c r="A159" s="21" t="n"/>
      <c r="B159" s="21" t="n"/>
    </row>
    <row r="160">
      <c r="A160" s="21" t="n"/>
      <c r="B160" s="21" t="n"/>
    </row>
    <row r="161">
      <c r="A161" s="21" t="n"/>
      <c r="B161" s="21" t="n"/>
    </row>
    <row r="162">
      <c r="A162" s="21" t="n"/>
      <c r="B162" s="21" t="n"/>
    </row>
    <row r="163">
      <c r="A163" s="21" t="n"/>
      <c r="B163" s="21" t="n"/>
    </row>
    <row r="164">
      <c r="A164" s="21" t="n"/>
      <c r="B164" s="21" t="n"/>
    </row>
    <row r="165">
      <c r="A165" s="21" t="n"/>
      <c r="B165" s="21" t="n"/>
    </row>
    <row r="166">
      <c r="A166" s="21" t="n"/>
      <c r="B166" s="21" t="n"/>
    </row>
    <row r="167">
      <c r="A167" s="21" t="n"/>
      <c r="B167" s="21" t="n"/>
    </row>
    <row r="168">
      <c r="A168" s="21" t="n"/>
      <c r="B168" s="21" t="n"/>
    </row>
    <row r="169">
      <c r="A169" s="21" t="n"/>
      <c r="B169" s="21" t="n"/>
    </row>
    <row r="170">
      <c r="A170" s="21" t="n"/>
      <c r="B170" s="21" t="n"/>
    </row>
    <row r="171">
      <c r="A171" s="21" t="n"/>
      <c r="B171" s="21" t="n"/>
    </row>
    <row r="172">
      <c r="A172" s="21" t="n"/>
      <c r="B172" s="21" t="n"/>
    </row>
    <row r="173">
      <c r="A173" s="21" t="n"/>
      <c r="B173" s="21" t="n"/>
    </row>
    <row r="174">
      <c r="A174" s="21" t="n"/>
      <c r="B174" s="21" t="n"/>
    </row>
    <row r="175">
      <c r="A175" s="21" t="n"/>
      <c r="B175" s="21" t="n"/>
    </row>
    <row r="176">
      <c r="A176" s="21" t="n"/>
      <c r="B176" s="21" t="n"/>
    </row>
    <row r="177">
      <c r="A177" s="21" t="n"/>
      <c r="B177" s="21" t="n"/>
    </row>
    <row r="178">
      <c r="A178" s="21" t="n"/>
      <c r="B178" s="21" t="n"/>
    </row>
    <row r="179">
      <c r="A179" s="21" t="n"/>
      <c r="B179" s="21" t="n"/>
    </row>
    <row r="180">
      <c r="A180" s="21" t="n"/>
      <c r="B180" s="21" t="n"/>
    </row>
    <row r="181">
      <c r="A181" s="21" t="n"/>
      <c r="B181" s="21" t="n"/>
    </row>
    <row r="182">
      <c r="A182" s="21" t="n"/>
      <c r="B182" s="21" t="n"/>
    </row>
    <row r="183">
      <c r="A183" s="21" t="n"/>
      <c r="B183" s="21" t="n"/>
    </row>
    <row r="184">
      <c r="A184" s="21" t="n"/>
      <c r="B184" s="21" t="n"/>
    </row>
    <row r="185">
      <c r="A185" s="21" t="n"/>
      <c r="B185" s="21" t="n"/>
    </row>
    <row r="186">
      <c r="A186" s="21" t="n"/>
      <c r="B186" s="21" t="n"/>
    </row>
    <row r="187">
      <c r="A187" s="21" t="n"/>
      <c r="B187" s="21" t="n"/>
    </row>
    <row r="188">
      <c r="A188" s="21" t="n"/>
      <c r="B188" s="21" t="n"/>
    </row>
    <row r="189">
      <c r="A189" s="21" t="n"/>
      <c r="B189" s="21" t="n"/>
    </row>
    <row r="190">
      <c r="A190" s="21" t="n"/>
      <c r="B190" s="21" t="n"/>
    </row>
    <row r="191">
      <c r="A191" s="21" t="n"/>
      <c r="B191" s="21" t="n"/>
    </row>
    <row r="192">
      <c r="A192" s="21" t="n"/>
      <c r="B192" s="21" t="n"/>
    </row>
    <row r="193">
      <c r="A193" s="21" t="n"/>
      <c r="B193" s="21" t="n"/>
    </row>
    <row r="194">
      <c r="A194" s="21" t="n"/>
      <c r="B194" s="21" t="n"/>
    </row>
    <row r="195">
      <c r="A195" s="21" t="n"/>
      <c r="B195" s="21" t="n"/>
    </row>
    <row r="196">
      <c r="A196" s="21" t="n"/>
      <c r="B196" s="21" t="n"/>
    </row>
    <row r="197">
      <c r="A197" s="21" t="n"/>
      <c r="B197" s="21" t="n"/>
    </row>
    <row r="198">
      <c r="A198" s="21" t="n"/>
      <c r="B198" s="21" t="n"/>
    </row>
    <row r="199">
      <c r="A199" s="21" t="n"/>
      <c r="B199" s="21" t="n"/>
    </row>
    <row r="200">
      <c r="A200" s="21" t="n"/>
      <c r="B200" s="21" t="n"/>
    </row>
    <row r="201">
      <c r="A201" s="21" t="n"/>
      <c r="B201" s="21" t="n"/>
    </row>
    <row r="202">
      <c r="A202" s="21" t="n"/>
      <c r="B202" s="21" t="n"/>
    </row>
    <row r="203">
      <c r="A203" s="21" t="n"/>
      <c r="B203" s="21" t="n"/>
    </row>
    <row r="204">
      <c r="A204" s="21" t="n"/>
      <c r="B204" s="21" t="n"/>
    </row>
    <row r="205">
      <c r="A205" s="21" t="n"/>
      <c r="B205" s="21" t="n"/>
    </row>
    <row r="206">
      <c r="A206" s="21" t="n"/>
      <c r="B206" s="21" t="n"/>
    </row>
    <row r="207">
      <c r="A207" s="21" t="n"/>
      <c r="B207" s="21" t="n"/>
    </row>
    <row r="208">
      <c r="A208" s="21" t="n"/>
      <c r="B208" s="21" t="n"/>
    </row>
    <row r="209">
      <c r="A209" s="21" t="n"/>
      <c r="B209" s="21" t="n"/>
    </row>
    <row r="210">
      <c r="A210" s="21" t="n"/>
      <c r="B210" s="21" t="n"/>
    </row>
    <row r="211">
      <c r="A211" s="21" t="n"/>
      <c r="B211" s="21" t="n"/>
    </row>
    <row r="212">
      <c r="A212" s="21" t="n"/>
      <c r="B212" s="21" t="n"/>
    </row>
    <row r="213">
      <c r="A213" s="21" t="n"/>
      <c r="B213" s="21" t="n"/>
    </row>
    <row r="214">
      <c r="A214" s="21" t="n"/>
      <c r="B214" s="21" t="n"/>
    </row>
    <row r="215">
      <c r="A215" s="21" t="n"/>
      <c r="B215" s="21" t="n"/>
    </row>
    <row r="216">
      <c r="A216" s="21" t="n"/>
      <c r="B216" s="21" t="n"/>
    </row>
    <row r="217">
      <c r="A217" s="21" t="n"/>
      <c r="B217" s="21" t="n"/>
    </row>
    <row r="218">
      <c r="A218" s="21" t="n"/>
      <c r="B218" s="21" t="n"/>
    </row>
    <row r="219">
      <c r="A219" s="21" t="n"/>
      <c r="B219" s="21" t="n"/>
    </row>
    <row r="220">
      <c r="A220" s="21" t="n"/>
      <c r="B220" s="21" t="n"/>
    </row>
    <row r="221">
      <c r="A221" s="21" t="n"/>
      <c r="B221" s="21" t="n"/>
    </row>
    <row r="222">
      <c r="A222" s="21" t="n"/>
      <c r="B222" s="21" t="n"/>
    </row>
    <row r="223">
      <c r="A223" s="21" t="n"/>
      <c r="B223" s="21" t="n"/>
    </row>
    <row r="224">
      <c r="A224" s="21" t="n"/>
      <c r="B224" s="21" t="n"/>
    </row>
    <row r="225">
      <c r="A225" s="21" t="n"/>
      <c r="B225" s="21" t="n"/>
    </row>
    <row r="226">
      <c r="A226" s="21" t="n"/>
      <c r="B226" s="21" t="n"/>
    </row>
    <row r="227">
      <c r="A227" s="21" t="n"/>
      <c r="B227" s="21" t="n"/>
    </row>
    <row r="228">
      <c r="A228" s="21" t="n"/>
      <c r="B228" s="21" t="n"/>
    </row>
    <row r="229">
      <c r="A229" s="21" t="n"/>
      <c r="B229" s="21" t="n"/>
    </row>
    <row r="230">
      <c r="A230" s="21" t="n"/>
      <c r="B230" s="21" t="n"/>
    </row>
    <row r="231">
      <c r="A231" s="21" t="n"/>
      <c r="B231" s="21" t="n"/>
    </row>
    <row r="232">
      <c r="A232" s="21" t="n"/>
      <c r="B232" s="21" t="n"/>
    </row>
    <row r="233">
      <c r="A233" s="21" t="n"/>
      <c r="B233" s="21" t="n"/>
    </row>
    <row r="234">
      <c r="A234" s="21" t="n"/>
      <c r="B234" s="21" t="n"/>
    </row>
    <row r="235">
      <c r="A235" s="21" t="n"/>
      <c r="B235" s="21" t="n"/>
    </row>
    <row r="236">
      <c r="A236" s="21" t="n"/>
      <c r="B236" s="21" t="n"/>
    </row>
    <row r="237">
      <c r="A237" s="21" t="n"/>
      <c r="B237" s="21" t="n"/>
    </row>
    <row r="238">
      <c r="A238" s="21" t="n"/>
      <c r="B238" s="21" t="n"/>
    </row>
    <row r="239">
      <c r="A239" s="21" t="n"/>
      <c r="B239" s="21" t="n"/>
    </row>
    <row r="240">
      <c r="A240" s="21" t="n"/>
      <c r="B240" s="21" t="n"/>
    </row>
    <row r="241">
      <c r="A241" s="21" t="n"/>
      <c r="B241" s="21" t="n"/>
    </row>
    <row r="242">
      <c r="A242" s="21" t="n"/>
      <c r="B242" s="21" t="n"/>
    </row>
    <row r="243">
      <c r="A243" s="21" t="n"/>
      <c r="B243" s="21" t="n"/>
    </row>
    <row r="244">
      <c r="A244" s="21" t="n"/>
      <c r="B244" s="21" t="n"/>
    </row>
    <row r="245">
      <c r="A245" s="21" t="n"/>
      <c r="B245" s="21" t="n"/>
    </row>
    <row r="246">
      <c r="A246" s="21" t="n"/>
      <c r="B246" s="21" t="n"/>
    </row>
    <row r="247">
      <c r="A247" s="21" t="n"/>
      <c r="B247" s="21" t="n"/>
    </row>
    <row r="248">
      <c r="A248" s="21" t="n"/>
      <c r="B248" s="21" t="n"/>
    </row>
    <row r="249">
      <c r="A249" s="21" t="n"/>
      <c r="B249" s="21" t="n"/>
    </row>
    <row r="250">
      <c r="A250" s="21" t="n"/>
      <c r="B250" s="21" t="n"/>
    </row>
    <row r="251">
      <c r="A251" s="21" t="n"/>
      <c r="B251" s="21" t="n"/>
    </row>
    <row r="252">
      <c r="A252" s="21" t="n"/>
      <c r="B252" s="21" t="n"/>
    </row>
    <row r="253">
      <c r="A253" s="21" t="n"/>
      <c r="B253" s="21" t="n"/>
    </row>
    <row r="254">
      <c r="A254" s="21" t="n"/>
      <c r="B254" s="21" t="n"/>
    </row>
    <row r="255">
      <c r="A255" s="21" t="n"/>
      <c r="B255" s="21" t="n"/>
    </row>
    <row r="256">
      <c r="A256" s="21" t="n"/>
      <c r="B256" s="21" t="n"/>
    </row>
    <row r="257">
      <c r="A257" s="21" t="n"/>
      <c r="B257" s="21" t="n"/>
    </row>
    <row r="258">
      <c r="A258" s="21" t="n"/>
      <c r="B258" s="21" t="n"/>
    </row>
    <row r="259">
      <c r="A259" s="21" t="n"/>
      <c r="B259" s="21" t="n"/>
    </row>
    <row r="260">
      <c r="A260" s="21" t="n"/>
      <c r="B260" s="21" t="n"/>
    </row>
    <row r="261">
      <c r="A261" s="21" t="n"/>
      <c r="B261" s="21" t="n"/>
    </row>
    <row r="262">
      <c r="A262" s="21" t="n"/>
      <c r="B262" s="21" t="n"/>
    </row>
    <row r="263">
      <c r="A263" s="21" t="n"/>
      <c r="B263" s="21" t="n"/>
    </row>
    <row r="264">
      <c r="A264" s="21" t="n"/>
      <c r="B264" s="21" t="n"/>
    </row>
    <row r="265">
      <c r="A265" s="21" t="n"/>
      <c r="B265" s="21" t="n"/>
    </row>
    <row r="266">
      <c r="A266" s="21" t="n"/>
      <c r="B266" s="21" t="n"/>
    </row>
    <row r="267">
      <c r="A267" s="21" t="n"/>
      <c r="B267" s="21" t="n"/>
    </row>
    <row r="268">
      <c r="A268" s="21" t="n"/>
      <c r="B268" s="21" t="n"/>
    </row>
    <row r="269">
      <c r="A269" s="21" t="n"/>
      <c r="B269" s="21" t="n"/>
    </row>
    <row r="270">
      <c r="A270" s="21" t="n"/>
      <c r="B270" s="21" t="n"/>
    </row>
    <row r="271">
      <c r="A271" s="21" t="n"/>
      <c r="B271" s="21" t="n"/>
    </row>
    <row r="272">
      <c r="A272" s="21" t="n"/>
      <c r="B272" s="21" t="n"/>
    </row>
    <row r="273">
      <c r="A273" s="21" t="n"/>
      <c r="B273" s="21" t="n"/>
    </row>
    <row r="274">
      <c r="A274" s="21" t="n"/>
      <c r="B274" s="21" t="n"/>
    </row>
    <row r="275">
      <c r="A275" s="21" t="n"/>
      <c r="B275" s="21" t="n"/>
    </row>
    <row r="276">
      <c r="A276" s="21" t="n"/>
      <c r="B276" s="21" t="n"/>
    </row>
    <row r="277">
      <c r="A277" s="21" t="n"/>
      <c r="B277" s="21" t="n"/>
    </row>
    <row r="278">
      <c r="A278" s="21" t="n"/>
      <c r="B278" s="21" t="n"/>
    </row>
    <row r="279">
      <c r="A279" s="21" t="n"/>
      <c r="B279" s="21" t="n"/>
    </row>
    <row r="280">
      <c r="A280" s="21" t="n"/>
      <c r="B280" s="21" t="n"/>
    </row>
    <row r="281">
      <c r="A281" s="21" t="n"/>
      <c r="B281" s="21" t="n"/>
    </row>
    <row r="282">
      <c r="A282" s="21" t="n"/>
      <c r="B282" s="21" t="n"/>
    </row>
    <row r="283">
      <c r="A283" s="21" t="n"/>
      <c r="B283" s="21" t="n"/>
    </row>
    <row r="284">
      <c r="A284" s="21" t="n"/>
      <c r="B284" s="21" t="n"/>
    </row>
    <row r="285">
      <c r="A285" s="21" t="n"/>
      <c r="B285" s="21" t="n"/>
    </row>
    <row r="286">
      <c r="A286" s="21" t="n"/>
      <c r="B286" s="21" t="n"/>
    </row>
    <row r="287">
      <c r="A287" s="21" t="n"/>
      <c r="B287" s="21" t="n"/>
    </row>
    <row r="288">
      <c r="A288" s="21" t="n"/>
      <c r="B288" s="21" t="n"/>
    </row>
    <row r="289">
      <c r="A289" s="21" t="n"/>
      <c r="B289" s="21" t="n"/>
    </row>
    <row r="290">
      <c r="A290" s="21" t="n"/>
      <c r="B290" s="21" t="n"/>
    </row>
    <row r="291">
      <c r="A291" s="21" t="n"/>
      <c r="B291" s="21" t="n"/>
    </row>
    <row r="292">
      <c r="A292" s="21" t="n"/>
      <c r="B292" s="21" t="n"/>
    </row>
    <row r="293">
      <c r="A293" s="21" t="n"/>
      <c r="B293" s="21" t="n"/>
    </row>
    <row r="294">
      <c r="A294" s="21" t="n"/>
      <c r="B294" s="21" t="n"/>
    </row>
    <row r="295">
      <c r="A295" s="21" t="n"/>
      <c r="B295" s="21" t="n"/>
    </row>
    <row r="296">
      <c r="A296" s="21" t="n"/>
      <c r="B296" s="21" t="n"/>
    </row>
    <row r="297">
      <c r="A297" s="21" t="n"/>
      <c r="B297" s="21" t="n"/>
    </row>
    <row r="298">
      <c r="A298" s="21" t="n"/>
      <c r="B298" s="21" t="n"/>
    </row>
    <row r="299">
      <c r="A299" s="21" t="n"/>
      <c r="B299" s="21" t="n"/>
    </row>
    <row r="300">
      <c r="A300" s="21" t="n"/>
      <c r="B300" s="21" t="n"/>
    </row>
    <row r="301">
      <c r="A301" s="21" t="n"/>
      <c r="B301" s="21" t="n"/>
    </row>
    <row r="302">
      <c r="A302" s="21" t="n"/>
      <c r="B302" s="21" t="n"/>
    </row>
    <row r="303">
      <c r="A303" s="21" t="n"/>
      <c r="B303" s="21" t="n"/>
    </row>
    <row r="304">
      <c r="A304" s="21" t="n"/>
      <c r="B304" s="21" t="n"/>
    </row>
    <row r="305">
      <c r="A305" s="21" t="n"/>
      <c r="B305" s="21" t="n"/>
    </row>
    <row r="306">
      <c r="A306" s="21" t="n"/>
      <c r="B306" s="21" t="n"/>
    </row>
    <row r="307">
      <c r="A307" s="21" t="n"/>
      <c r="B307" s="21" t="n"/>
    </row>
    <row r="308">
      <c r="A308" s="21" t="n"/>
      <c r="B308" s="21" t="n"/>
    </row>
    <row r="309">
      <c r="A309" s="21" t="n"/>
      <c r="B309" s="21" t="n"/>
    </row>
    <row r="310">
      <c r="A310" s="21" t="n"/>
      <c r="B310" s="21" t="n"/>
    </row>
    <row r="311">
      <c r="A311" s="21" t="n"/>
      <c r="B311" s="21" t="n"/>
    </row>
    <row r="312">
      <c r="A312" s="21" t="n"/>
      <c r="B312" s="21" t="n"/>
    </row>
    <row r="313">
      <c r="A313" s="21" t="n"/>
      <c r="B313" s="21" t="n"/>
    </row>
    <row r="314">
      <c r="A314" s="21" t="n"/>
      <c r="B314" s="21" t="n"/>
    </row>
    <row r="315">
      <c r="A315" s="21" t="n"/>
      <c r="B315" s="21" t="n"/>
    </row>
    <row r="316">
      <c r="A316" s="21" t="n"/>
      <c r="B316" s="21" t="n"/>
    </row>
    <row r="317">
      <c r="A317" s="21" t="n"/>
      <c r="B317" s="21" t="n"/>
    </row>
    <row r="318">
      <c r="A318" s="21" t="n"/>
      <c r="B318" s="21" t="n"/>
    </row>
    <row r="319">
      <c r="A319" s="21" t="n"/>
      <c r="B319" s="21" t="n"/>
    </row>
    <row r="320">
      <c r="A320" s="21" t="n"/>
      <c r="B320" s="21" t="n"/>
    </row>
    <row r="321">
      <c r="A321" s="21" t="n"/>
      <c r="B321" s="21" t="n"/>
    </row>
    <row r="322">
      <c r="A322" s="21" t="n"/>
      <c r="B322" s="21" t="n"/>
    </row>
    <row r="323">
      <c r="A323" s="21" t="n"/>
      <c r="B323" s="21" t="n"/>
    </row>
    <row r="324">
      <c r="A324" s="21" t="n"/>
      <c r="B324" s="21" t="n"/>
    </row>
    <row r="325">
      <c r="A325" s="21" t="n"/>
      <c r="B325" s="21" t="n"/>
    </row>
    <row r="326">
      <c r="A326" s="21" t="n"/>
      <c r="B326" s="21" t="n"/>
    </row>
    <row r="327">
      <c r="A327" s="21" t="n"/>
      <c r="B327" s="21" t="n"/>
    </row>
    <row r="328">
      <c r="A328" s="21" t="n"/>
      <c r="B328" s="21" t="n"/>
    </row>
    <row r="329">
      <c r="A329" s="21" t="n"/>
      <c r="B329" s="21" t="n"/>
    </row>
    <row r="330">
      <c r="A330" s="21" t="n"/>
      <c r="B330" s="21" t="n"/>
    </row>
    <row r="331">
      <c r="A331" s="21" t="n"/>
      <c r="B331" s="21" t="n"/>
    </row>
    <row r="332">
      <c r="A332" s="21" t="n"/>
      <c r="B332" s="21" t="n"/>
    </row>
    <row r="333">
      <c r="A333" s="21" t="n"/>
      <c r="B333" s="21" t="n"/>
    </row>
    <row r="334">
      <c r="A334" s="21" t="n"/>
      <c r="B334" s="21" t="n"/>
    </row>
    <row r="335">
      <c r="A335" s="21" t="n"/>
      <c r="B335" s="21" t="n"/>
    </row>
    <row r="336">
      <c r="A336" s="21" t="n"/>
      <c r="B336" s="21" t="n"/>
    </row>
    <row r="337">
      <c r="A337" s="21" t="n"/>
      <c r="B337" s="21" t="n"/>
    </row>
    <row r="338">
      <c r="A338" s="21" t="n"/>
      <c r="B338" s="21" t="n"/>
    </row>
    <row r="339">
      <c r="A339" s="21" t="n"/>
      <c r="B339" s="21" t="n"/>
    </row>
    <row r="340">
      <c r="A340" s="21" t="n"/>
      <c r="B340" s="21" t="n"/>
    </row>
    <row r="341">
      <c r="A341" s="21" t="n"/>
      <c r="B341" s="21" t="n"/>
    </row>
    <row r="342">
      <c r="A342" s="21" t="n"/>
      <c r="B342" s="21" t="n"/>
    </row>
    <row r="343">
      <c r="A343" s="21" t="n"/>
      <c r="B343" s="21" t="n"/>
    </row>
    <row r="344">
      <c r="A344" s="21" t="n"/>
      <c r="B344" s="21" t="n"/>
    </row>
    <row r="345">
      <c r="A345" s="21" t="n"/>
      <c r="B345" s="21" t="n"/>
    </row>
    <row r="346">
      <c r="A346" s="21" t="n"/>
      <c r="B346" s="21" t="n"/>
    </row>
    <row r="347">
      <c r="A347" s="21" t="n"/>
      <c r="B347" s="21" t="n"/>
    </row>
    <row r="348">
      <c r="A348" s="21" t="n"/>
      <c r="B348" s="21" t="n"/>
    </row>
    <row r="349">
      <c r="A349" s="21" t="n"/>
      <c r="B349" s="21" t="n"/>
    </row>
    <row r="350">
      <c r="A350" s="21" t="n"/>
      <c r="B350" s="21" t="n"/>
    </row>
    <row r="351">
      <c r="A351" s="21" t="n"/>
      <c r="B351" s="21" t="n"/>
    </row>
    <row r="352">
      <c r="A352" s="21" t="n"/>
      <c r="B352" s="21" t="n"/>
    </row>
    <row r="353">
      <c r="A353" s="21" t="n"/>
      <c r="B353" s="21" t="n"/>
    </row>
    <row r="354">
      <c r="A354" s="21" t="n"/>
      <c r="B354" s="21" t="n"/>
    </row>
    <row r="355">
      <c r="A355" s="21" t="n"/>
      <c r="B355" s="21" t="n"/>
    </row>
    <row r="356">
      <c r="A356" s="21" t="n"/>
      <c r="B356" s="21" t="n"/>
    </row>
    <row r="357">
      <c r="A357" s="21" t="n"/>
      <c r="B357" s="21" t="n"/>
    </row>
    <row r="358">
      <c r="A358" s="21" t="n"/>
      <c r="B358" s="21" t="n"/>
    </row>
    <row r="359">
      <c r="A359" s="21" t="n"/>
      <c r="B359" s="21" t="n"/>
    </row>
    <row r="360">
      <c r="A360" s="21" t="n"/>
      <c r="B360" s="21" t="n"/>
    </row>
    <row r="361">
      <c r="A361" s="21" t="n"/>
      <c r="B361" s="21" t="n"/>
    </row>
    <row r="362">
      <c r="A362" s="21" t="n"/>
      <c r="B362" s="21" t="n"/>
    </row>
    <row r="363">
      <c r="A363" s="21" t="n"/>
      <c r="B363" s="21" t="n"/>
    </row>
    <row r="364">
      <c r="A364" s="21" t="n"/>
      <c r="B364" s="21" t="n"/>
    </row>
    <row r="365">
      <c r="A365" s="21" t="n"/>
      <c r="B365" s="21" t="n"/>
    </row>
    <row r="366">
      <c r="A366" s="21" t="n"/>
      <c r="B366" s="21" t="n"/>
    </row>
    <row r="367">
      <c r="A367" s="21" t="n"/>
      <c r="B367" s="21" t="n"/>
    </row>
    <row r="368">
      <c r="A368" s="21" t="n"/>
      <c r="B368" s="21" t="n"/>
    </row>
    <row r="369">
      <c r="A369" s="21" t="n"/>
      <c r="B369" s="21" t="n"/>
    </row>
    <row r="370">
      <c r="A370" s="21" t="n"/>
      <c r="B370" s="21" t="n"/>
    </row>
    <row r="371">
      <c r="A371" s="21" t="n"/>
      <c r="B371" s="21" t="n"/>
    </row>
    <row r="372">
      <c r="A372" s="21" t="n"/>
      <c r="B372" s="21" t="n"/>
    </row>
    <row r="373">
      <c r="A373" s="21" t="n"/>
      <c r="B373" s="21" t="n"/>
    </row>
    <row r="374">
      <c r="A374" s="21" t="n"/>
      <c r="B374" s="21" t="n"/>
    </row>
    <row r="375">
      <c r="A375" s="21" t="n"/>
      <c r="B375" s="21" t="n"/>
    </row>
    <row r="376">
      <c r="A376" s="21" t="n"/>
      <c r="B376" s="21" t="n"/>
    </row>
    <row r="377">
      <c r="A377" s="21" t="n"/>
      <c r="B377" s="21" t="n"/>
    </row>
    <row r="378">
      <c r="A378" s="21" t="n"/>
      <c r="B378" s="21" t="n"/>
    </row>
    <row r="379">
      <c r="A379" s="21" t="n"/>
      <c r="B379" s="21" t="n"/>
    </row>
    <row r="380">
      <c r="A380" s="21" t="n"/>
      <c r="B380" s="21" t="n"/>
    </row>
    <row r="381">
      <c r="A381" s="21" t="n"/>
      <c r="B381" s="21" t="n"/>
    </row>
    <row r="382">
      <c r="A382" s="21" t="n"/>
      <c r="B382" s="21" t="n"/>
    </row>
    <row r="383">
      <c r="A383" s="21" t="n"/>
      <c r="B383" s="21" t="n"/>
    </row>
    <row r="384">
      <c r="A384" s="21" t="n"/>
      <c r="B384" s="21" t="n"/>
    </row>
    <row r="385">
      <c r="A385" s="21" t="n"/>
      <c r="B385" s="21" t="n"/>
    </row>
    <row r="386">
      <c r="A386" s="21" t="n"/>
      <c r="B386" s="21" t="n"/>
    </row>
    <row r="387">
      <c r="A387" s="21" t="n"/>
      <c r="B387" s="21" t="n"/>
    </row>
    <row r="388">
      <c r="A388" s="21" t="n"/>
      <c r="B388" s="21" t="n"/>
    </row>
    <row r="389">
      <c r="A389" s="21" t="n"/>
      <c r="B389" s="21" t="n"/>
    </row>
    <row r="390">
      <c r="A390" s="21" t="n"/>
      <c r="B390" s="21" t="n"/>
    </row>
    <row r="391">
      <c r="A391" s="21" t="n"/>
      <c r="B391" s="21" t="n"/>
    </row>
    <row r="392">
      <c r="A392" s="21" t="n"/>
      <c r="B392" s="21" t="n"/>
    </row>
    <row r="393">
      <c r="A393" s="21" t="n"/>
      <c r="B393" s="21" t="n"/>
    </row>
    <row r="394">
      <c r="A394" s="21" t="n"/>
      <c r="B394" s="21" t="n"/>
    </row>
    <row r="395">
      <c r="A395" s="21" t="n"/>
      <c r="B395" s="21" t="n"/>
    </row>
    <row r="396">
      <c r="A396" s="21" t="n"/>
      <c r="B396" s="21" t="n"/>
    </row>
    <row r="397">
      <c r="A397" s="21" t="n"/>
      <c r="B397" s="21" t="n"/>
    </row>
    <row r="398">
      <c r="A398" s="21" t="n"/>
      <c r="B398" s="21" t="n"/>
    </row>
    <row r="399">
      <c r="A399" s="21" t="n"/>
      <c r="B399" s="21" t="n"/>
    </row>
    <row r="400">
      <c r="A400" s="21" t="n"/>
      <c r="B400" s="21" t="n"/>
    </row>
    <row r="401">
      <c r="A401" s="21" t="n"/>
      <c r="B401" s="21" t="n"/>
    </row>
    <row r="402">
      <c r="A402" s="21" t="n"/>
      <c r="B402" s="21" t="n"/>
    </row>
    <row r="403">
      <c r="A403" s="21" t="n"/>
      <c r="B403" s="21" t="n"/>
    </row>
    <row r="404">
      <c r="A404" s="21" t="n"/>
      <c r="B404" s="21" t="n"/>
    </row>
    <row r="405">
      <c r="A405" s="21" t="n"/>
      <c r="B405" s="21" t="n"/>
    </row>
    <row r="406">
      <c r="A406" s="21" t="n"/>
      <c r="B406" s="21" t="n"/>
    </row>
    <row r="407">
      <c r="A407" s="21" t="n"/>
      <c r="B407" s="21" t="n"/>
    </row>
    <row r="408">
      <c r="A408" s="21" t="n"/>
      <c r="B408" s="21" t="n"/>
    </row>
    <row r="409">
      <c r="A409" s="21" t="n"/>
      <c r="B409" s="21" t="n"/>
    </row>
    <row r="410">
      <c r="A410" s="21" t="n"/>
      <c r="B410" s="21" t="n"/>
    </row>
    <row r="411">
      <c r="A411" s="21" t="n"/>
      <c r="B411" s="21" t="n"/>
    </row>
    <row r="412">
      <c r="A412" s="21" t="n"/>
      <c r="B412" s="21" t="n"/>
    </row>
    <row r="413">
      <c r="A413" s="21" t="n"/>
      <c r="B413" s="21" t="n"/>
    </row>
    <row r="414">
      <c r="A414" s="21" t="n"/>
      <c r="B414" s="21" t="n"/>
    </row>
    <row r="415">
      <c r="A415" s="21" t="n"/>
      <c r="B415" s="21" t="n"/>
    </row>
    <row r="416">
      <c r="A416" s="21" t="n"/>
      <c r="B416" s="21" t="n"/>
    </row>
    <row r="417">
      <c r="A417" s="21" t="n"/>
      <c r="B417" s="21" t="n"/>
    </row>
    <row r="418">
      <c r="A418" s="21" t="n"/>
      <c r="B418" s="21" t="n"/>
    </row>
    <row r="419">
      <c r="A419" s="21" t="n"/>
      <c r="B419" s="21" t="n"/>
    </row>
    <row r="420">
      <c r="A420" s="21" t="n"/>
      <c r="B420" s="21" t="n"/>
    </row>
    <row r="421">
      <c r="A421" s="21" t="n"/>
      <c r="B421" s="21" t="n"/>
    </row>
    <row r="422">
      <c r="A422" s="21" t="n"/>
      <c r="B422" s="21" t="n"/>
    </row>
    <row r="423">
      <c r="A423" s="21" t="n"/>
      <c r="B423" s="21" t="n"/>
    </row>
    <row r="424">
      <c r="A424" s="21" t="n"/>
      <c r="B424" s="21" t="n"/>
    </row>
    <row r="425">
      <c r="A425" s="21" t="n"/>
      <c r="B425" s="21" t="n"/>
    </row>
    <row r="426">
      <c r="A426" s="21" t="n"/>
      <c r="B426" s="21" t="n"/>
    </row>
    <row r="427">
      <c r="A427" s="21" t="n"/>
      <c r="B427" s="21" t="n"/>
    </row>
    <row r="428">
      <c r="A428" s="21" t="n"/>
      <c r="B428" s="21" t="n"/>
    </row>
    <row r="429">
      <c r="A429" s="21" t="n"/>
      <c r="B429" s="21" t="n"/>
    </row>
    <row r="430">
      <c r="A430" s="21" t="n"/>
      <c r="B430" s="21" t="n"/>
    </row>
    <row r="431">
      <c r="A431" s="21" t="n"/>
      <c r="B431" s="21" t="n"/>
    </row>
    <row r="432">
      <c r="A432" s="21" t="n"/>
      <c r="B432" s="21" t="n"/>
    </row>
    <row r="433">
      <c r="A433" s="21" t="n"/>
      <c r="B433" s="21" t="n"/>
    </row>
    <row r="434">
      <c r="A434" s="21" t="n"/>
      <c r="B434" s="21" t="n"/>
    </row>
    <row r="435">
      <c r="A435" s="21" t="n"/>
      <c r="B435" s="21" t="n"/>
    </row>
    <row r="436">
      <c r="A436" s="21" t="n"/>
      <c r="B436" s="21" t="n"/>
    </row>
    <row r="437">
      <c r="A437" s="21" t="n"/>
      <c r="B437" s="21" t="n"/>
    </row>
    <row r="438">
      <c r="A438" s="21" t="n"/>
      <c r="B438" s="21" t="n"/>
    </row>
    <row r="439">
      <c r="A439" s="21" t="n"/>
      <c r="B439" s="21" t="n"/>
    </row>
    <row r="440">
      <c r="A440" s="21" t="n"/>
      <c r="B440" s="21" t="n"/>
    </row>
    <row r="441">
      <c r="A441" s="21" t="n"/>
      <c r="B441" s="21" t="n"/>
    </row>
    <row r="442">
      <c r="A442" s="21" t="n"/>
      <c r="B442" s="21" t="n"/>
    </row>
    <row r="443">
      <c r="A443" s="21" t="n"/>
      <c r="B443" s="21" t="n"/>
    </row>
    <row r="444">
      <c r="A444" s="21" t="n"/>
      <c r="B444" s="21" t="n"/>
    </row>
    <row r="445">
      <c r="A445" s="21" t="n"/>
      <c r="B445" s="21" t="n"/>
    </row>
    <row r="446">
      <c r="A446" s="21" t="n"/>
      <c r="B446" s="21" t="n"/>
    </row>
    <row r="447">
      <c r="A447" s="21" t="n"/>
      <c r="B447" s="21" t="n"/>
    </row>
    <row r="448">
      <c r="A448" s="21" t="n"/>
      <c r="B448" s="21" t="n"/>
    </row>
    <row r="449">
      <c r="A449" s="21" t="n"/>
      <c r="B449" s="21" t="n"/>
    </row>
    <row r="450">
      <c r="A450" s="21" t="n"/>
      <c r="B450" s="21" t="n"/>
    </row>
    <row r="451">
      <c r="A451" s="21" t="n"/>
      <c r="B451" s="21" t="n"/>
    </row>
    <row r="452">
      <c r="A452" s="21" t="n"/>
      <c r="B452" s="21" t="n"/>
    </row>
    <row r="453">
      <c r="A453" s="21" t="n"/>
      <c r="B453" s="21" t="n"/>
    </row>
    <row r="454">
      <c r="A454" s="21" t="n"/>
      <c r="B454" s="21" t="n"/>
    </row>
    <row r="455">
      <c r="A455" s="21" t="n"/>
      <c r="B455" s="21" t="n"/>
    </row>
    <row r="456">
      <c r="A456" s="21" t="n"/>
      <c r="B456" s="21" t="n"/>
    </row>
    <row r="457">
      <c r="A457" s="21" t="n"/>
      <c r="B457" s="21" t="n"/>
    </row>
    <row r="458">
      <c r="A458" s="21" t="n"/>
      <c r="B458" s="21" t="n"/>
    </row>
    <row r="459">
      <c r="A459" s="21" t="n"/>
      <c r="B459" s="21" t="n"/>
    </row>
    <row r="460">
      <c r="A460" s="21" t="n"/>
      <c r="B460" s="21" t="n"/>
    </row>
    <row r="461">
      <c r="A461" s="21" t="n"/>
      <c r="B461" s="21" t="n"/>
    </row>
    <row r="462">
      <c r="A462" s="21" t="n"/>
      <c r="B462" s="21" t="n"/>
    </row>
    <row r="463">
      <c r="A463" s="21" t="n"/>
      <c r="B463" s="21" t="n"/>
    </row>
    <row r="464">
      <c r="A464" s="21" t="n"/>
      <c r="B464" s="21" t="n"/>
    </row>
    <row r="465">
      <c r="A465" s="21" t="n"/>
      <c r="B465" s="21" t="n"/>
    </row>
    <row r="466">
      <c r="A466" s="21" t="n"/>
      <c r="B466" s="21" t="n"/>
    </row>
    <row r="467">
      <c r="A467" s="21" t="n"/>
      <c r="B467" s="21" t="n"/>
    </row>
    <row r="468">
      <c r="A468" s="21" t="n"/>
      <c r="B468" s="21" t="n"/>
    </row>
    <row r="469">
      <c r="A469" s="21" t="n"/>
      <c r="B469" s="21" t="n"/>
    </row>
    <row r="470">
      <c r="A470" s="21" t="n"/>
      <c r="B470" s="21" t="n"/>
    </row>
    <row r="471">
      <c r="A471" s="21" t="n"/>
      <c r="B471" s="21" t="n"/>
    </row>
    <row r="472">
      <c r="A472" s="21" t="n"/>
      <c r="B472" s="21" t="n"/>
    </row>
    <row r="473">
      <c r="A473" s="21" t="n"/>
      <c r="B473" s="21" t="n"/>
    </row>
    <row r="474">
      <c r="A474" s="21" t="n"/>
      <c r="B474" s="21" t="n"/>
    </row>
    <row r="475">
      <c r="A475" s="21" t="n"/>
      <c r="B475" s="21" t="n"/>
    </row>
    <row r="476">
      <c r="A476" s="21" t="n"/>
      <c r="B476" s="21" t="n"/>
    </row>
    <row r="477">
      <c r="A477" s="21" t="n"/>
      <c r="B477" s="21" t="n"/>
    </row>
    <row r="478">
      <c r="A478" s="21" t="n"/>
      <c r="B478" s="21" t="n"/>
    </row>
    <row r="479">
      <c r="A479" s="21" t="n"/>
      <c r="B479" s="21" t="n"/>
    </row>
    <row r="480">
      <c r="A480" s="21" t="n"/>
      <c r="B480" s="21" t="n"/>
    </row>
    <row r="481">
      <c r="A481" s="21" t="n"/>
      <c r="B481" s="21" t="n"/>
    </row>
    <row r="482">
      <c r="A482" s="21" t="n"/>
      <c r="B482" s="21" t="n"/>
    </row>
    <row r="483">
      <c r="A483" s="21" t="n"/>
      <c r="B483" s="21" t="n"/>
    </row>
    <row r="484">
      <c r="A484" s="21" t="n"/>
      <c r="B484" s="21" t="n"/>
    </row>
    <row r="485">
      <c r="A485" s="21" t="n"/>
      <c r="B485" s="21" t="n"/>
    </row>
    <row r="486">
      <c r="A486" s="21" t="n"/>
      <c r="B486" s="21" t="n"/>
    </row>
    <row r="487">
      <c r="A487" s="21" t="n"/>
      <c r="B487" s="21" t="n"/>
    </row>
    <row r="488">
      <c r="A488" s="21" t="n"/>
      <c r="B488" s="21" t="n"/>
    </row>
    <row r="489">
      <c r="A489" s="21" t="n"/>
      <c r="B489" s="21" t="n"/>
    </row>
    <row r="490">
      <c r="A490" s="21" t="n"/>
      <c r="B490" s="21" t="n"/>
    </row>
    <row r="491">
      <c r="A491" s="21" t="n"/>
      <c r="B491" s="21" t="n"/>
    </row>
    <row r="492">
      <c r="A492" s="21" t="n"/>
      <c r="B492" s="21" t="n"/>
    </row>
    <row r="493">
      <c r="A493" s="21" t="n"/>
      <c r="B493" s="21" t="n"/>
    </row>
    <row r="494">
      <c r="A494" s="21" t="n"/>
      <c r="B494" s="21" t="n"/>
    </row>
    <row r="495">
      <c r="A495" s="21" t="n"/>
      <c r="B495" s="21" t="n"/>
    </row>
    <row r="496">
      <c r="A496" s="21" t="n"/>
      <c r="B496" s="21" t="n"/>
    </row>
    <row r="497">
      <c r="A497" s="21" t="n"/>
      <c r="B497" s="21" t="n"/>
    </row>
    <row r="498">
      <c r="A498" s="21" t="n"/>
      <c r="B498" s="21" t="n"/>
    </row>
    <row r="499">
      <c r="A499" s="21" t="n"/>
      <c r="B499" s="21" t="n"/>
    </row>
    <row r="500">
      <c r="A500" s="21" t="n"/>
      <c r="B500" s="21" t="n"/>
    </row>
    <row r="501">
      <c r="A501" s="21" t="n"/>
      <c r="B501" s="21" t="n"/>
    </row>
    <row r="502">
      <c r="A502" s="21" t="n"/>
      <c r="B502" s="21" t="n"/>
    </row>
    <row r="503">
      <c r="A503" s="21" t="n"/>
      <c r="B503" s="21" t="n"/>
    </row>
    <row r="504">
      <c r="A504" s="21" t="n"/>
      <c r="B504" s="21" t="n"/>
    </row>
    <row r="505">
      <c r="A505" s="21" t="n"/>
      <c r="B505" s="21" t="n"/>
    </row>
    <row r="506">
      <c r="A506" s="21" t="n"/>
      <c r="B506" s="21" t="n"/>
    </row>
    <row r="507">
      <c r="A507" s="21" t="n"/>
      <c r="B507" s="21" t="n"/>
    </row>
    <row r="508">
      <c r="A508" s="21" t="n"/>
      <c r="B508" s="21" t="n"/>
    </row>
    <row r="509">
      <c r="A509" s="21" t="n"/>
      <c r="B509" s="21" t="n"/>
    </row>
    <row r="510">
      <c r="A510" s="21" t="n"/>
      <c r="B510" s="21" t="n"/>
    </row>
    <row r="511">
      <c r="A511" s="21" t="n"/>
      <c r="B511" s="21" t="n"/>
    </row>
    <row r="512">
      <c r="A512" s="21" t="n"/>
      <c r="B512" s="21" t="n"/>
    </row>
    <row r="513">
      <c r="A513" s="21" t="n"/>
      <c r="B513" s="21" t="n"/>
    </row>
    <row r="514">
      <c r="A514" s="21" t="n"/>
      <c r="B514" s="21" t="n"/>
    </row>
    <row r="515">
      <c r="A515" s="21" t="n"/>
      <c r="B515" s="21" t="n"/>
    </row>
    <row r="516">
      <c r="A516" s="21" t="n"/>
      <c r="B516" s="21" t="n"/>
    </row>
    <row r="517">
      <c r="A517" s="21" t="n"/>
      <c r="B517" s="21" t="n"/>
    </row>
    <row r="518">
      <c r="A518" s="21" t="n"/>
      <c r="B518" s="21" t="n"/>
    </row>
    <row r="519">
      <c r="A519" s="21" t="n"/>
      <c r="B519" s="21" t="n"/>
    </row>
    <row r="520">
      <c r="A520" s="21" t="n"/>
      <c r="B520" s="21" t="n"/>
    </row>
    <row r="521">
      <c r="A521" s="21" t="n"/>
      <c r="B521" s="21" t="n"/>
    </row>
    <row r="522">
      <c r="A522" s="21" t="n"/>
      <c r="B522" s="21" t="n"/>
    </row>
    <row r="523">
      <c r="A523" s="21" t="n"/>
      <c r="B523" s="21" t="n"/>
    </row>
    <row r="524">
      <c r="A524" s="21" t="n"/>
      <c r="B524" s="21" t="n"/>
    </row>
    <row r="525">
      <c r="A525" s="21" t="n"/>
      <c r="B525" s="21" t="n"/>
    </row>
    <row r="526">
      <c r="A526" s="21" t="n"/>
      <c r="B526" s="21" t="n"/>
    </row>
    <row r="527">
      <c r="A527" s="21" t="n"/>
      <c r="B527" s="21" t="n"/>
    </row>
    <row r="528">
      <c r="A528" s="21" t="n"/>
      <c r="B528" s="21" t="n"/>
    </row>
    <row r="529">
      <c r="A529" s="21" t="n"/>
      <c r="B529" s="21" t="n"/>
    </row>
    <row r="530">
      <c r="A530" s="21" t="n"/>
      <c r="B530" s="21" t="n"/>
    </row>
    <row r="531">
      <c r="A531" s="21" t="n"/>
      <c r="B531" s="21" t="n"/>
    </row>
    <row r="532">
      <c r="A532" s="21" t="n"/>
      <c r="B532" s="21" t="n"/>
    </row>
    <row r="533">
      <c r="A533" s="21" t="n"/>
      <c r="B533" s="21" t="n"/>
    </row>
    <row r="534">
      <c r="A534" s="21" t="n"/>
      <c r="B534" s="21" t="n"/>
    </row>
    <row r="535">
      <c r="A535" s="21" t="n"/>
      <c r="B535" s="21" t="n"/>
    </row>
    <row r="536">
      <c r="A536" s="21" t="n"/>
      <c r="B536" s="21" t="n"/>
    </row>
    <row r="537">
      <c r="A537" s="21" t="n"/>
      <c r="B537" s="21" t="n"/>
    </row>
    <row r="538">
      <c r="A538" s="21" t="n"/>
      <c r="B538" s="21" t="n"/>
    </row>
    <row r="539">
      <c r="A539" s="21" t="n"/>
      <c r="B539" s="21" t="n"/>
    </row>
    <row r="540">
      <c r="A540" s="21" t="n"/>
      <c r="B540" s="21" t="n"/>
    </row>
    <row r="541">
      <c r="A541" s="21" t="n"/>
      <c r="B541" s="21" t="n"/>
    </row>
    <row r="542">
      <c r="A542" s="21" t="n"/>
      <c r="B542" s="21" t="n"/>
    </row>
    <row r="543">
      <c r="A543" s="21" t="n"/>
      <c r="B543" s="21" t="n"/>
    </row>
    <row r="544">
      <c r="A544" s="21" t="n"/>
      <c r="B544" s="21" t="n"/>
    </row>
    <row r="545">
      <c r="A545" s="21" t="n"/>
      <c r="B545" s="21" t="n"/>
    </row>
    <row r="546">
      <c r="A546" s="21" t="n"/>
      <c r="B546" s="21" t="n"/>
    </row>
    <row r="547">
      <c r="A547" s="21" t="n"/>
      <c r="B547" s="21" t="n"/>
    </row>
    <row r="548">
      <c r="A548" s="21" t="n"/>
      <c r="B548" s="21" t="n"/>
    </row>
    <row r="549">
      <c r="A549" s="21" t="n"/>
      <c r="B549" s="21" t="n"/>
    </row>
    <row r="550">
      <c r="A550" s="21" t="n"/>
      <c r="B550" s="21" t="n"/>
    </row>
    <row r="551">
      <c r="A551" s="21" t="n"/>
      <c r="B551" s="21" t="n"/>
    </row>
    <row r="552">
      <c r="A552" s="21" t="n"/>
      <c r="B552" s="21" t="n"/>
    </row>
    <row r="553">
      <c r="A553" s="21" t="n"/>
      <c r="B553" s="21" t="n"/>
    </row>
    <row r="554">
      <c r="A554" s="21" t="n"/>
      <c r="B554" s="21" t="n"/>
    </row>
    <row r="555">
      <c r="A555" s="21" t="n"/>
      <c r="B555" s="21" t="n"/>
    </row>
    <row r="556">
      <c r="A556" s="21" t="n"/>
      <c r="B556" s="21" t="n"/>
    </row>
    <row r="557">
      <c r="A557" s="21" t="n"/>
      <c r="B557" s="21" t="n"/>
    </row>
    <row r="558">
      <c r="A558" s="21" t="n"/>
      <c r="B558" s="21" t="n"/>
    </row>
    <row r="559">
      <c r="A559" s="21" t="n"/>
      <c r="B559" s="21" t="n"/>
    </row>
    <row r="560">
      <c r="A560" s="21" t="n"/>
      <c r="B560" s="21" t="n"/>
    </row>
    <row r="561">
      <c r="A561" s="21" t="n"/>
      <c r="B561" s="21" t="n"/>
    </row>
    <row r="562">
      <c r="A562" s="21" t="n"/>
      <c r="B562" s="21" t="n"/>
    </row>
    <row r="563">
      <c r="A563" s="21" t="n"/>
      <c r="B563" s="21" t="n"/>
    </row>
    <row r="564">
      <c r="A564" s="21" t="n"/>
      <c r="B564" s="21" t="n"/>
    </row>
    <row r="565">
      <c r="A565" s="21" t="n"/>
      <c r="B565" s="21" t="n"/>
    </row>
    <row r="566">
      <c r="A566" s="21" t="n"/>
      <c r="B566" s="21" t="n"/>
    </row>
    <row r="567">
      <c r="A567" s="21" t="n"/>
      <c r="B567" s="21" t="n"/>
    </row>
    <row r="568">
      <c r="A568" s="21" t="n"/>
      <c r="B568" s="21" t="n"/>
    </row>
    <row r="569">
      <c r="A569" s="21" t="n"/>
      <c r="B569" s="21" t="n"/>
    </row>
    <row r="570">
      <c r="A570" s="21" t="n"/>
      <c r="B570" s="21" t="n"/>
    </row>
    <row r="571">
      <c r="A571" s="21" t="n"/>
      <c r="B571" s="21" t="n"/>
    </row>
    <row r="572">
      <c r="A572" s="21" t="n"/>
      <c r="B572" s="21" t="n"/>
    </row>
    <row r="573">
      <c r="A573" s="21" t="n"/>
      <c r="B573" s="21" t="n"/>
    </row>
    <row r="574">
      <c r="A574" s="21" t="n"/>
      <c r="B574" s="21" t="n"/>
    </row>
    <row r="575">
      <c r="A575" s="21" t="n"/>
      <c r="B575" s="21" t="n"/>
    </row>
    <row r="576">
      <c r="A576" s="21" t="n"/>
      <c r="B576" s="21" t="n"/>
    </row>
    <row r="577">
      <c r="A577" s="21" t="n"/>
      <c r="B577" s="21" t="n"/>
    </row>
    <row r="578">
      <c r="A578" s="21" t="n"/>
      <c r="B578" s="21" t="n"/>
    </row>
    <row r="579">
      <c r="A579" s="21" t="n"/>
      <c r="B579" s="21" t="n"/>
    </row>
    <row r="580">
      <c r="A580" s="21" t="n"/>
      <c r="B580" s="21" t="n"/>
    </row>
    <row r="581">
      <c r="A581" s="21" t="n"/>
      <c r="B581" s="21" t="n"/>
    </row>
    <row r="582">
      <c r="A582" s="21" t="n"/>
      <c r="B582" s="21" t="n"/>
    </row>
    <row r="583">
      <c r="A583" s="21" t="n"/>
      <c r="B583" s="21" t="n"/>
    </row>
    <row r="584">
      <c r="A584" s="21" t="n"/>
      <c r="B584" s="21" t="n"/>
    </row>
    <row r="585">
      <c r="A585" s="21" t="n"/>
      <c r="B585" s="21" t="n"/>
    </row>
    <row r="586">
      <c r="A586" s="21" t="n"/>
      <c r="B586" s="21" t="n"/>
    </row>
    <row r="587">
      <c r="A587" s="21" t="n"/>
      <c r="B587" s="21" t="n"/>
    </row>
    <row r="588">
      <c r="A588" s="21" t="n"/>
      <c r="B588" s="21" t="n"/>
    </row>
    <row r="589">
      <c r="A589" s="21" t="n"/>
      <c r="B589" s="21" t="n"/>
    </row>
    <row r="590">
      <c r="A590" s="21" t="n"/>
      <c r="B590" s="21" t="n"/>
    </row>
    <row r="591">
      <c r="A591" s="21" t="n"/>
      <c r="B591" s="21" t="n"/>
    </row>
    <row r="592">
      <c r="A592" s="21" t="n"/>
      <c r="B592" s="21" t="n"/>
    </row>
    <row r="593">
      <c r="A593" s="21" t="n"/>
      <c r="B593" s="21" t="n"/>
    </row>
    <row r="594">
      <c r="A594" s="21" t="n"/>
      <c r="B594" s="21" t="n"/>
    </row>
    <row r="595">
      <c r="A595" s="21" t="n"/>
      <c r="B595" s="21" t="n"/>
    </row>
    <row r="596">
      <c r="A596" s="21" t="n"/>
      <c r="B596" s="21" t="n"/>
    </row>
    <row r="597">
      <c r="A597" s="21" t="n"/>
      <c r="B597" s="21" t="n"/>
    </row>
    <row r="598">
      <c r="A598" s="21" t="n"/>
      <c r="B598" s="21" t="n"/>
    </row>
    <row r="599">
      <c r="A599" s="21" t="n"/>
      <c r="B599" s="21" t="n"/>
    </row>
    <row r="600">
      <c r="A600" s="21" t="n"/>
      <c r="B600" s="21" t="n"/>
    </row>
    <row r="601">
      <c r="A601" s="21" t="n"/>
      <c r="B601" s="21" t="n"/>
    </row>
    <row r="602">
      <c r="A602" s="21" t="n"/>
      <c r="B602" s="21" t="n"/>
    </row>
    <row r="603">
      <c r="A603" s="21" t="n"/>
      <c r="B603" s="21" t="n"/>
    </row>
    <row r="604">
      <c r="A604" s="21" t="n"/>
      <c r="B604" s="21" t="n"/>
    </row>
    <row r="605">
      <c r="A605" s="21" t="n"/>
      <c r="B605" s="21" t="n"/>
    </row>
    <row r="606">
      <c r="A606" s="21" t="n"/>
      <c r="B606" s="21" t="n"/>
    </row>
    <row r="607">
      <c r="A607" s="21" t="n"/>
      <c r="B607" s="21" t="n"/>
    </row>
    <row r="608">
      <c r="A608" s="21" t="n"/>
      <c r="B608" s="21" t="n"/>
    </row>
    <row r="609">
      <c r="A609" s="21" t="n"/>
      <c r="B609" s="21" t="n"/>
    </row>
    <row r="610">
      <c r="A610" s="21" t="n"/>
      <c r="B610" s="21" t="n"/>
    </row>
    <row r="611">
      <c r="A611" s="21" t="n"/>
      <c r="B611" s="21" t="n"/>
    </row>
    <row r="612">
      <c r="A612" s="21" t="n"/>
      <c r="B612" s="21" t="n"/>
    </row>
    <row r="613">
      <c r="A613" s="21" t="n"/>
      <c r="B613" s="21" t="n"/>
    </row>
    <row r="614">
      <c r="A614" s="21" t="n"/>
      <c r="B614" s="21" t="n"/>
    </row>
    <row r="615">
      <c r="A615" s="21" t="n"/>
      <c r="B615" s="21" t="n"/>
    </row>
    <row r="616">
      <c r="A616" s="21" t="n"/>
      <c r="B616" s="21" t="n"/>
    </row>
    <row r="617">
      <c r="A617" s="21" t="n"/>
      <c r="B617" s="21" t="n"/>
    </row>
    <row r="618">
      <c r="A618" s="21" t="n"/>
      <c r="B618" s="21" t="n"/>
    </row>
    <row r="619">
      <c r="A619" s="21" t="n"/>
      <c r="B619" s="21" t="n"/>
    </row>
    <row r="620">
      <c r="A620" s="21" t="n"/>
      <c r="B620" s="21" t="n"/>
    </row>
    <row r="621">
      <c r="A621" s="21" t="n"/>
      <c r="B621" s="21" t="n"/>
    </row>
    <row r="622">
      <c r="A622" s="21" t="n"/>
      <c r="B622" s="21" t="n"/>
    </row>
    <row r="623">
      <c r="A623" s="21" t="n"/>
      <c r="B623" s="21" t="n"/>
    </row>
    <row r="624">
      <c r="A624" s="21" t="n"/>
      <c r="B624" s="21" t="n"/>
    </row>
    <row r="625">
      <c r="A625" s="21" t="n"/>
      <c r="B625" s="21" t="n"/>
    </row>
    <row r="626">
      <c r="A626" s="21" t="n"/>
      <c r="B626" s="21" t="n"/>
    </row>
    <row r="627">
      <c r="A627" s="21" t="n"/>
      <c r="B627" s="21" t="n"/>
    </row>
    <row r="628">
      <c r="A628" s="21" t="n"/>
      <c r="B628" s="21" t="n"/>
    </row>
    <row r="629">
      <c r="A629" s="21" t="n"/>
      <c r="B629" s="21" t="n"/>
    </row>
    <row r="630">
      <c r="A630" s="21" t="n"/>
      <c r="B630" s="21" t="n"/>
    </row>
    <row r="631">
      <c r="A631" s="21" t="n"/>
      <c r="B631" s="21" t="n"/>
    </row>
    <row r="632">
      <c r="A632" s="21" t="n"/>
      <c r="B632" s="21" t="n"/>
    </row>
    <row r="633">
      <c r="A633" s="21" t="n"/>
      <c r="B633" s="21" t="n"/>
    </row>
    <row r="634">
      <c r="A634" s="21" t="n"/>
      <c r="B634" s="21" t="n"/>
    </row>
    <row r="635">
      <c r="A635" s="21" t="n"/>
      <c r="B635" s="21" t="n"/>
    </row>
    <row r="636">
      <c r="A636" s="21" t="n"/>
      <c r="B636" s="21" t="n"/>
    </row>
    <row r="637">
      <c r="A637" s="21" t="n"/>
      <c r="B637" s="21" t="n"/>
    </row>
    <row r="638">
      <c r="A638" s="21" t="n"/>
      <c r="B638" s="21" t="n"/>
    </row>
    <row r="639">
      <c r="A639" s="21" t="n"/>
      <c r="B639" s="21" t="n"/>
    </row>
    <row r="640">
      <c r="A640" s="21" t="n"/>
      <c r="B640" s="21" t="n"/>
    </row>
    <row r="641">
      <c r="A641" s="21" t="n"/>
      <c r="B641" s="21" t="n"/>
    </row>
    <row r="642">
      <c r="A642" s="21" t="n"/>
      <c r="B642" s="21" t="n"/>
    </row>
    <row r="643">
      <c r="A643" s="21" t="n"/>
      <c r="B643" s="21" t="n"/>
    </row>
    <row r="644">
      <c r="A644" s="21" t="n"/>
      <c r="B644" s="21" t="n"/>
    </row>
    <row r="645">
      <c r="A645" s="21" t="n"/>
      <c r="B645" s="21" t="n"/>
    </row>
    <row r="646">
      <c r="A646" s="21" t="n"/>
      <c r="B646" s="21" t="n"/>
    </row>
    <row r="647">
      <c r="A647" s="21" t="n"/>
      <c r="B647" s="21" t="n"/>
    </row>
    <row r="648">
      <c r="A648" s="21" t="n"/>
      <c r="B648" s="21" t="n"/>
    </row>
    <row r="649">
      <c r="A649" s="21" t="n"/>
      <c r="B649" s="21" t="n"/>
    </row>
    <row r="650">
      <c r="A650" s="21" t="n"/>
      <c r="B650" s="21" t="n"/>
    </row>
    <row r="651">
      <c r="A651" s="21" t="n"/>
      <c r="B651" s="21" t="n"/>
    </row>
    <row r="652">
      <c r="A652" s="21" t="n"/>
      <c r="B652" s="21" t="n"/>
    </row>
    <row r="653">
      <c r="A653" s="21" t="n"/>
      <c r="B653" s="21" t="n"/>
    </row>
    <row r="654">
      <c r="A654" s="21" t="n"/>
      <c r="B654" s="21" t="n"/>
    </row>
    <row r="655">
      <c r="A655" s="21" t="n"/>
      <c r="B655" s="21" t="n"/>
    </row>
    <row r="656">
      <c r="A656" s="21" t="n"/>
      <c r="B656" s="21" t="n"/>
    </row>
    <row r="657">
      <c r="A657" s="21" t="n"/>
      <c r="B657" s="21" t="n"/>
    </row>
    <row r="658">
      <c r="A658" s="21" t="n"/>
      <c r="B658" s="21" t="n"/>
    </row>
    <row r="659">
      <c r="A659" s="21" t="n"/>
      <c r="B659" s="21" t="n"/>
    </row>
    <row r="660">
      <c r="A660" s="21" t="n"/>
      <c r="B660" s="21" t="n"/>
    </row>
    <row r="661">
      <c r="A661" s="21" t="n"/>
      <c r="B661" s="21" t="n"/>
    </row>
    <row r="662">
      <c r="A662" s="21" t="n"/>
      <c r="B662" s="21" t="n"/>
    </row>
    <row r="663">
      <c r="A663" s="21" t="n"/>
      <c r="B663" s="21" t="n"/>
    </row>
    <row r="664">
      <c r="A664" s="21" t="n"/>
      <c r="B664" s="21" t="n"/>
    </row>
    <row r="665">
      <c r="A665" s="21" t="n"/>
      <c r="B665" s="21" t="n"/>
    </row>
    <row r="666">
      <c r="A666" s="21" t="n"/>
      <c r="B666" s="21" t="n"/>
    </row>
    <row r="667">
      <c r="A667" s="21" t="n"/>
      <c r="B667" s="21" t="n"/>
    </row>
    <row r="668">
      <c r="A668" s="21" t="n"/>
      <c r="B668" s="21" t="n"/>
    </row>
    <row r="669">
      <c r="A669" s="21" t="n"/>
      <c r="B669" s="21" t="n"/>
    </row>
    <row r="670">
      <c r="A670" s="21" t="n"/>
      <c r="B670" s="21" t="n"/>
    </row>
    <row r="671">
      <c r="A671" s="21" t="n"/>
      <c r="B671" s="21" t="n"/>
    </row>
    <row r="672">
      <c r="A672" s="21" t="n"/>
      <c r="B672" s="21" t="n"/>
    </row>
    <row r="673">
      <c r="A673" s="21" t="n"/>
      <c r="B673" s="21" t="n"/>
    </row>
    <row r="674">
      <c r="A674" s="21" t="n"/>
      <c r="B674" s="21" t="n"/>
    </row>
    <row r="675">
      <c r="A675" s="21" t="n"/>
      <c r="B675" s="21" t="n"/>
    </row>
    <row r="676">
      <c r="A676" s="21" t="n"/>
      <c r="B676" s="21" t="n"/>
    </row>
    <row r="677">
      <c r="A677" s="21" t="n"/>
      <c r="B677" s="21" t="n"/>
    </row>
    <row r="678">
      <c r="A678" s="21" t="n"/>
      <c r="B678" s="21" t="n"/>
    </row>
    <row r="679">
      <c r="A679" s="21" t="n"/>
      <c r="B679" s="21" t="n"/>
    </row>
    <row r="680">
      <c r="A680" s="21" t="n"/>
      <c r="B680" s="21" t="n"/>
    </row>
    <row r="681">
      <c r="A681" s="21" t="n"/>
      <c r="B681" s="21" t="n"/>
    </row>
    <row r="682">
      <c r="A682" s="21" t="n"/>
      <c r="B682" s="21" t="n"/>
    </row>
    <row r="683">
      <c r="A683" s="21" t="n"/>
      <c r="B683" s="21" t="n"/>
    </row>
    <row r="684">
      <c r="A684" s="21" t="n"/>
      <c r="B684" s="21" t="n"/>
    </row>
    <row r="685">
      <c r="A685" s="21" t="n"/>
      <c r="B685" s="21" t="n"/>
    </row>
    <row r="686">
      <c r="A686" s="21" t="n"/>
      <c r="B686" s="21" t="n"/>
    </row>
    <row r="687">
      <c r="A687" s="21" t="n"/>
      <c r="B687" s="21" t="n"/>
    </row>
    <row r="688">
      <c r="A688" s="21" t="n"/>
      <c r="B688" s="21" t="n"/>
    </row>
    <row r="689">
      <c r="A689" s="21" t="n"/>
      <c r="B689" s="21" t="n"/>
    </row>
    <row r="690">
      <c r="A690" s="21" t="n"/>
      <c r="B690" s="21" t="n"/>
    </row>
    <row r="691">
      <c r="A691" s="21" t="n"/>
      <c r="B691" s="21" t="n"/>
    </row>
    <row r="692">
      <c r="A692" s="21" t="n"/>
      <c r="B692" s="21" t="n"/>
    </row>
    <row r="693">
      <c r="A693" s="21" t="n"/>
      <c r="B693" s="21" t="n"/>
    </row>
    <row r="694">
      <c r="A694" s="21" t="n"/>
      <c r="B694" s="21" t="n"/>
    </row>
    <row r="695">
      <c r="A695" s="21" t="n"/>
      <c r="B695" s="21" t="n"/>
    </row>
    <row r="696">
      <c r="A696" s="21" t="n"/>
      <c r="B696" s="21" t="n"/>
    </row>
    <row r="697">
      <c r="A697" s="21" t="n"/>
      <c r="B697" s="21" t="n"/>
    </row>
    <row r="698">
      <c r="A698" s="21" t="n"/>
      <c r="B698" s="21" t="n"/>
    </row>
    <row r="699">
      <c r="A699" s="21" t="n"/>
      <c r="B699" s="21" t="n"/>
    </row>
    <row r="700">
      <c r="A700" s="21" t="n"/>
      <c r="B700" s="21" t="n"/>
    </row>
    <row r="701">
      <c r="A701" s="21" t="n"/>
      <c r="B701" s="21" t="n"/>
    </row>
    <row r="702">
      <c r="A702" s="21" t="n"/>
      <c r="B702" s="21" t="n"/>
    </row>
    <row r="703">
      <c r="A703" s="21" t="n"/>
      <c r="B703" s="21" t="n"/>
    </row>
    <row r="704">
      <c r="A704" s="21" t="n"/>
      <c r="B704" s="21" t="n"/>
    </row>
    <row r="705">
      <c r="A705" s="21" t="n"/>
      <c r="B705" s="21" t="n"/>
    </row>
    <row r="706">
      <c r="A706" s="21" t="n"/>
      <c r="B706" s="21" t="n"/>
    </row>
    <row r="707">
      <c r="A707" s="21" t="n"/>
      <c r="B707" s="21" t="n"/>
    </row>
    <row r="708">
      <c r="A708" s="21" t="n"/>
      <c r="B708" s="21" t="n"/>
    </row>
    <row r="709">
      <c r="A709" s="21" t="n"/>
      <c r="B709" s="21" t="n"/>
    </row>
    <row r="710">
      <c r="A710" s="21" t="n"/>
      <c r="B710" s="21" t="n"/>
    </row>
    <row r="711">
      <c r="A711" s="21" t="n"/>
      <c r="B711" s="21" t="n"/>
    </row>
    <row r="712">
      <c r="A712" s="21" t="n"/>
      <c r="B712" s="21" t="n"/>
    </row>
    <row r="713">
      <c r="A713" s="21" t="n"/>
      <c r="B713" s="21" t="n"/>
    </row>
    <row r="714">
      <c r="A714" s="21" t="n"/>
      <c r="B714" s="21" t="n"/>
    </row>
    <row r="715">
      <c r="A715" s="21" t="n"/>
      <c r="B715" s="21" t="n"/>
    </row>
    <row r="716">
      <c r="A716" s="21" t="n"/>
      <c r="B716" s="21" t="n"/>
    </row>
    <row r="717">
      <c r="A717" s="21" t="n"/>
      <c r="B717" s="21" t="n"/>
    </row>
    <row r="718">
      <c r="A718" s="21" t="n"/>
      <c r="B718" s="21" t="n"/>
    </row>
    <row r="719">
      <c r="A719" s="21" t="n"/>
      <c r="B719" s="21" t="n"/>
    </row>
    <row r="720">
      <c r="A720" s="21" t="n"/>
      <c r="B720" s="21" t="n"/>
    </row>
    <row r="721">
      <c r="A721" s="21" t="n"/>
      <c r="B721" s="21" t="n"/>
    </row>
    <row r="722">
      <c r="A722" s="21" t="n"/>
      <c r="B722" s="21" t="n"/>
    </row>
    <row r="723">
      <c r="A723" s="21" t="n"/>
      <c r="B723" s="21" t="n"/>
    </row>
    <row r="724">
      <c r="A724" s="21" t="n"/>
      <c r="B724" s="21" t="n"/>
    </row>
    <row r="725">
      <c r="A725" s="21" t="n"/>
      <c r="B725" s="21" t="n"/>
    </row>
    <row r="726">
      <c r="A726" s="21" t="n"/>
      <c r="B726" s="21" t="n"/>
    </row>
    <row r="727">
      <c r="A727" s="21" t="n"/>
      <c r="B727" s="21" t="n"/>
    </row>
    <row r="728">
      <c r="A728" s="21" t="n"/>
      <c r="B728" s="21" t="n"/>
    </row>
    <row r="729">
      <c r="A729" s="21" t="n"/>
      <c r="B729" s="21" t="n"/>
    </row>
    <row r="730">
      <c r="A730" s="21" t="n"/>
      <c r="B730" s="21" t="n"/>
    </row>
    <row r="731">
      <c r="A731" s="21" t="n"/>
      <c r="B731" s="21" t="n"/>
    </row>
    <row r="732">
      <c r="A732" s="21" t="n"/>
      <c r="B732" s="21" t="n"/>
    </row>
    <row r="733">
      <c r="A733" s="21" t="n"/>
      <c r="B733" s="21" t="n"/>
    </row>
    <row r="734">
      <c r="A734" s="21" t="n"/>
      <c r="B734" s="21" t="n"/>
    </row>
    <row r="735">
      <c r="A735" s="21" t="n"/>
      <c r="B735" s="21" t="n"/>
    </row>
    <row r="736">
      <c r="A736" s="21" t="n"/>
      <c r="B736" s="21" t="n"/>
    </row>
    <row r="737">
      <c r="A737" s="21" t="n"/>
      <c r="B737" s="21" t="n"/>
    </row>
    <row r="738">
      <c r="A738" s="21" t="n"/>
      <c r="B738" s="21" t="n"/>
    </row>
    <row r="739">
      <c r="A739" s="21" t="n"/>
      <c r="B739" s="21" t="n"/>
    </row>
    <row r="740">
      <c r="A740" s="21" t="n"/>
      <c r="B740" s="21" t="n"/>
    </row>
    <row r="741">
      <c r="A741" s="21" t="n"/>
      <c r="B741" s="21" t="n"/>
    </row>
    <row r="742">
      <c r="A742" s="21" t="n"/>
      <c r="B742" s="21" t="n"/>
    </row>
    <row r="743">
      <c r="A743" s="21" t="n"/>
      <c r="B743" s="21" t="n"/>
    </row>
    <row r="744">
      <c r="A744" s="21" t="n"/>
      <c r="B744" s="21" t="n"/>
    </row>
    <row r="745">
      <c r="A745" s="21" t="n"/>
      <c r="B745" s="21" t="n"/>
    </row>
    <row r="746">
      <c r="A746" s="21" t="n"/>
      <c r="B746" s="21" t="n"/>
    </row>
    <row r="747">
      <c r="A747" s="21" t="n"/>
      <c r="B747" s="21" t="n"/>
    </row>
    <row r="748">
      <c r="A748" s="21" t="n"/>
      <c r="B748" s="21" t="n"/>
    </row>
    <row r="749">
      <c r="A749" s="21" t="n"/>
      <c r="B749" s="21" t="n"/>
    </row>
    <row r="750">
      <c r="A750" s="21" t="n"/>
      <c r="B750" s="21" t="n"/>
    </row>
    <row r="751">
      <c r="A751" s="21" t="n"/>
      <c r="B751" s="21" t="n"/>
    </row>
    <row r="752">
      <c r="A752" s="21" t="n"/>
      <c r="B752" s="21" t="n"/>
    </row>
    <row r="753">
      <c r="A753" s="21" t="n"/>
      <c r="B753" s="21" t="n"/>
    </row>
    <row r="754">
      <c r="A754" s="21" t="n"/>
      <c r="B754" s="21" t="n"/>
    </row>
    <row r="755">
      <c r="A755" s="21" t="n"/>
      <c r="B755" s="21" t="n"/>
    </row>
    <row r="756">
      <c r="A756" s="21" t="n"/>
      <c r="B756" s="21" t="n"/>
    </row>
    <row r="757">
      <c r="A757" s="21" t="n"/>
      <c r="B757" s="21" t="n"/>
    </row>
    <row r="758">
      <c r="A758" s="21" t="n"/>
      <c r="B758" s="21" t="n"/>
    </row>
    <row r="759">
      <c r="A759" s="21" t="n"/>
      <c r="B759" s="21" t="n"/>
    </row>
    <row r="760">
      <c r="A760" s="21" t="n"/>
      <c r="B760" s="21" t="n"/>
    </row>
    <row r="761">
      <c r="A761" s="21" t="n"/>
      <c r="B761" s="21" t="n"/>
    </row>
    <row r="762">
      <c r="A762" s="21" t="n"/>
      <c r="B762" s="21" t="n"/>
    </row>
    <row r="763">
      <c r="A763" s="21" t="n"/>
      <c r="B763" s="21" t="n"/>
    </row>
    <row r="764">
      <c r="A764" s="21" t="n"/>
      <c r="B764" s="21" t="n"/>
    </row>
    <row r="765">
      <c r="A765" s="21" t="n"/>
      <c r="B765" s="21" t="n"/>
    </row>
    <row r="766">
      <c r="A766" s="21" t="n"/>
      <c r="B766" s="21" t="n"/>
    </row>
    <row r="767">
      <c r="A767" s="21" t="n"/>
      <c r="B767" s="21" t="n"/>
    </row>
    <row r="768">
      <c r="A768" s="21" t="n"/>
      <c r="B768" s="21" t="n"/>
    </row>
    <row r="769">
      <c r="A769" s="21" t="n"/>
      <c r="B769" s="21" t="n"/>
    </row>
    <row r="770">
      <c r="A770" s="21" t="n"/>
      <c r="B770" s="21" t="n"/>
    </row>
    <row r="771">
      <c r="A771" s="21" t="n"/>
      <c r="B771" s="21" t="n"/>
    </row>
    <row r="772">
      <c r="A772" s="21" t="n"/>
      <c r="B772" s="21" t="n"/>
    </row>
    <row r="773">
      <c r="A773" s="21" t="n"/>
      <c r="B773" s="21" t="n"/>
    </row>
    <row r="774">
      <c r="A774" s="21" t="n"/>
      <c r="B774" s="21" t="n"/>
    </row>
    <row r="775">
      <c r="A775" s="21" t="n"/>
      <c r="B775" s="21" t="n"/>
    </row>
    <row r="776">
      <c r="A776" s="21" t="n"/>
      <c r="B776" s="21" t="n"/>
    </row>
    <row r="777">
      <c r="A777" s="21" t="n"/>
      <c r="B777" s="21" t="n"/>
    </row>
    <row r="778">
      <c r="A778" s="21" t="n"/>
      <c r="B778" s="21" t="n"/>
    </row>
    <row r="779">
      <c r="A779" s="21" t="n"/>
      <c r="B779" s="21" t="n"/>
    </row>
    <row r="780">
      <c r="A780" s="21" t="n"/>
      <c r="B780" s="21" t="n"/>
    </row>
    <row r="781">
      <c r="A781" s="21" t="n"/>
      <c r="B781" s="21" t="n"/>
    </row>
    <row r="782">
      <c r="A782" s="21" t="n"/>
      <c r="B782" s="21" t="n"/>
    </row>
    <row r="783">
      <c r="A783" s="21" t="n"/>
      <c r="B783" s="21" t="n"/>
    </row>
    <row r="784">
      <c r="A784" s="21" t="n"/>
      <c r="B784" s="21" t="n"/>
    </row>
    <row r="785">
      <c r="A785" s="21" t="n"/>
      <c r="B785" s="21" t="n"/>
    </row>
    <row r="786">
      <c r="A786" s="21" t="n"/>
      <c r="B786" s="21" t="n"/>
    </row>
    <row r="787">
      <c r="A787" s="21" t="n"/>
      <c r="B787" s="21" t="n"/>
    </row>
    <row r="788">
      <c r="A788" s="21" t="n"/>
      <c r="B788" s="21" t="n"/>
    </row>
    <row r="789">
      <c r="A789" s="21" t="n"/>
      <c r="B789" s="21" t="n"/>
    </row>
    <row r="790">
      <c r="A790" s="21" t="n"/>
      <c r="B790" s="21" t="n"/>
    </row>
    <row r="791">
      <c r="A791" s="21" t="n"/>
      <c r="B791" s="21" t="n"/>
    </row>
    <row r="792">
      <c r="A792" s="21" t="n"/>
      <c r="B792" s="21" t="n"/>
    </row>
    <row r="793">
      <c r="A793" s="21" t="n"/>
      <c r="B793" s="21" t="n"/>
    </row>
    <row r="794">
      <c r="A794" s="21" t="n"/>
      <c r="B794" s="21" t="n"/>
    </row>
    <row r="795">
      <c r="A795" s="21" t="n"/>
      <c r="B795" s="21" t="n"/>
    </row>
    <row r="796">
      <c r="A796" s="21" t="n"/>
      <c r="B796" s="21" t="n"/>
    </row>
    <row r="797">
      <c r="A797" s="21" t="n"/>
      <c r="B797" s="21" t="n"/>
    </row>
    <row r="798">
      <c r="A798" s="21" t="n"/>
      <c r="B798" s="21" t="n"/>
    </row>
    <row r="799">
      <c r="A799" s="21" t="n"/>
      <c r="B799" s="21" t="n"/>
    </row>
    <row r="800">
      <c r="A800" s="21" t="n"/>
      <c r="B800" s="21" t="n"/>
    </row>
    <row r="801">
      <c r="A801" s="21" t="n"/>
      <c r="B801" s="21" t="n"/>
    </row>
    <row r="802">
      <c r="A802" s="21" t="n"/>
      <c r="B802" s="21" t="n"/>
    </row>
    <row r="803">
      <c r="A803" s="21" t="n"/>
      <c r="B803" s="21" t="n"/>
    </row>
    <row r="804">
      <c r="A804" s="21" t="n"/>
      <c r="B804" s="21" t="n"/>
    </row>
    <row r="805">
      <c r="A805" s="21" t="n"/>
      <c r="B805" s="21" t="n"/>
    </row>
    <row r="806">
      <c r="A806" s="21" t="n"/>
      <c r="B806" s="21" t="n"/>
    </row>
    <row r="807">
      <c r="A807" s="21" t="n"/>
      <c r="B807" s="21" t="n"/>
    </row>
    <row r="808">
      <c r="A808" s="21" t="n"/>
      <c r="B808" s="21" t="n"/>
    </row>
    <row r="809">
      <c r="A809" s="21" t="n"/>
      <c r="B809" s="21" t="n"/>
    </row>
    <row r="810">
      <c r="A810" s="21" t="n"/>
      <c r="B810" s="21" t="n"/>
    </row>
    <row r="811">
      <c r="A811" s="21" t="n"/>
      <c r="B811" s="21" t="n"/>
    </row>
    <row r="812">
      <c r="A812" s="21" t="n"/>
      <c r="B812" s="21" t="n"/>
    </row>
    <row r="813">
      <c r="A813" s="21" t="n"/>
      <c r="B813" s="21" t="n"/>
    </row>
    <row r="814">
      <c r="A814" s="21" t="n"/>
      <c r="B814" s="21" t="n"/>
    </row>
    <row r="815">
      <c r="A815" s="21" t="n"/>
      <c r="B815" s="21" t="n"/>
    </row>
    <row r="816">
      <c r="A816" s="21" t="n"/>
      <c r="B816" s="21" t="n"/>
    </row>
    <row r="817">
      <c r="A817" s="21" t="n"/>
      <c r="B817" s="21" t="n"/>
    </row>
    <row r="818">
      <c r="A818" s="21" t="n"/>
      <c r="B818" s="21" t="n"/>
    </row>
    <row r="819">
      <c r="A819" s="21" t="n"/>
      <c r="B819" s="21" t="n"/>
    </row>
    <row r="820">
      <c r="A820" s="21" t="n"/>
      <c r="B820" s="21" t="n"/>
    </row>
    <row r="821">
      <c r="A821" s="21" t="n"/>
      <c r="B821" s="21" t="n"/>
    </row>
    <row r="822">
      <c r="A822" s="21" t="n"/>
      <c r="B822" s="21" t="n"/>
    </row>
    <row r="823">
      <c r="A823" s="21" t="n"/>
      <c r="B823" s="21" t="n"/>
    </row>
    <row r="824">
      <c r="A824" s="21" t="n"/>
      <c r="B824" s="21" t="n"/>
    </row>
    <row r="825">
      <c r="A825" s="21" t="n"/>
      <c r="B825" s="21" t="n"/>
    </row>
    <row r="826">
      <c r="A826" s="21" t="n"/>
      <c r="B826" s="21" t="n"/>
    </row>
    <row r="827">
      <c r="A827" s="21" t="n"/>
      <c r="B827" s="21" t="n"/>
    </row>
    <row r="828">
      <c r="A828" s="21" t="n"/>
      <c r="B828" s="21" t="n"/>
    </row>
    <row r="829">
      <c r="A829" s="21" t="n"/>
      <c r="B829" s="21" t="n"/>
    </row>
    <row r="830">
      <c r="A830" s="21" t="n"/>
      <c r="B830" s="21" t="n"/>
    </row>
    <row r="831">
      <c r="A831" s="21" t="n"/>
      <c r="B831" s="21" t="n"/>
    </row>
    <row r="832">
      <c r="A832" s="21" t="n"/>
      <c r="B832" s="21" t="n"/>
    </row>
    <row r="833">
      <c r="A833" s="21" t="n"/>
      <c r="B833" s="21" t="n"/>
    </row>
    <row r="834">
      <c r="A834" s="21" t="n"/>
      <c r="B834" s="21" t="n"/>
    </row>
    <row r="835">
      <c r="A835" s="21" t="n"/>
      <c r="B835" s="21" t="n"/>
    </row>
    <row r="836">
      <c r="A836" s="21" t="n"/>
      <c r="B836" s="21" t="n"/>
    </row>
    <row r="837">
      <c r="A837" s="21" t="n"/>
      <c r="B837" s="21" t="n"/>
    </row>
    <row r="838">
      <c r="A838" s="21" t="n"/>
      <c r="B838" s="21" t="n"/>
    </row>
    <row r="839">
      <c r="A839" s="21" t="n"/>
      <c r="B839" s="21" t="n"/>
    </row>
    <row r="840">
      <c r="A840" s="21" t="n"/>
      <c r="B840" s="21" t="n"/>
    </row>
    <row r="841">
      <c r="A841" s="21" t="n"/>
      <c r="B841" s="21" t="n"/>
    </row>
    <row r="842">
      <c r="A842" s="21" t="n"/>
      <c r="B842" s="21" t="n"/>
    </row>
    <row r="843">
      <c r="A843" s="21" t="n"/>
      <c r="B843" s="21" t="n"/>
    </row>
    <row r="844">
      <c r="A844" s="21" t="n"/>
      <c r="B844" s="21" t="n"/>
    </row>
    <row r="845">
      <c r="A845" s="21" t="n"/>
      <c r="B845" s="21" t="n"/>
    </row>
    <row r="846">
      <c r="A846" s="21" t="n"/>
      <c r="B846" s="21" t="n"/>
    </row>
    <row r="847">
      <c r="A847" s="21" t="n"/>
      <c r="B847" s="21" t="n"/>
    </row>
    <row r="848">
      <c r="A848" s="21" t="n"/>
      <c r="B848" s="21" t="n"/>
    </row>
    <row r="849">
      <c r="A849" s="21" t="n"/>
      <c r="B849" s="21" t="n"/>
    </row>
    <row r="850">
      <c r="A850" s="21" t="n"/>
      <c r="B850" s="21" t="n"/>
    </row>
    <row r="851">
      <c r="A851" s="21" t="n"/>
      <c r="B851" s="21" t="n"/>
    </row>
    <row r="852">
      <c r="A852" s="21" t="n"/>
      <c r="B852" s="21" t="n"/>
    </row>
    <row r="853">
      <c r="A853" s="21" t="n"/>
      <c r="B853" s="21" t="n"/>
    </row>
    <row r="854">
      <c r="A854" s="21" t="n"/>
      <c r="B854" s="21" t="n"/>
    </row>
    <row r="855">
      <c r="A855" s="21" t="n"/>
      <c r="B855" s="21" t="n"/>
    </row>
    <row r="856">
      <c r="A856" s="21" t="n"/>
      <c r="B856" s="21" t="n"/>
    </row>
    <row r="857">
      <c r="A857" s="21" t="n"/>
      <c r="B857" s="21" t="n"/>
    </row>
    <row r="858">
      <c r="A858" s="21" t="n"/>
      <c r="B858" s="21" t="n"/>
    </row>
    <row r="859">
      <c r="A859" s="21" t="n"/>
      <c r="B859" s="21" t="n"/>
    </row>
    <row r="860">
      <c r="A860" s="21" t="n"/>
      <c r="B860" s="21" t="n"/>
    </row>
    <row r="861">
      <c r="A861" s="21" t="n"/>
      <c r="B861" s="21" t="n"/>
    </row>
    <row r="862">
      <c r="A862" s="21" t="n"/>
      <c r="B862" s="21" t="n"/>
    </row>
    <row r="863">
      <c r="A863" s="21" t="n"/>
      <c r="B863" s="21" t="n"/>
    </row>
    <row r="864">
      <c r="A864" s="21" t="n"/>
      <c r="B864" s="21" t="n"/>
    </row>
    <row r="865">
      <c r="A865" s="21" t="n"/>
      <c r="B865" s="21" t="n"/>
    </row>
    <row r="866">
      <c r="A866" s="21" t="n"/>
      <c r="B866" s="21" t="n"/>
    </row>
    <row r="867">
      <c r="A867" s="21" t="n"/>
      <c r="B867" s="21" t="n"/>
    </row>
    <row r="868">
      <c r="A868" s="21" t="n"/>
      <c r="B868" s="21" t="n"/>
    </row>
    <row r="869">
      <c r="A869" s="21" t="n"/>
      <c r="B869" s="21" t="n"/>
    </row>
    <row r="870">
      <c r="A870" s="21" t="n"/>
      <c r="B870" s="21" t="n"/>
    </row>
    <row r="871">
      <c r="A871" s="21" t="n"/>
      <c r="B871" s="21" t="n"/>
    </row>
    <row r="872">
      <c r="A872" s="21" t="n"/>
      <c r="B872" s="21" t="n"/>
    </row>
    <row r="873">
      <c r="A873" s="21" t="n"/>
      <c r="B873" s="21" t="n"/>
    </row>
    <row r="874">
      <c r="A874" s="21" t="n"/>
      <c r="B874" s="21" t="n"/>
    </row>
    <row r="875">
      <c r="A875" s="21" t="n"/>
      <c r="B875" s="21" t="n"/>
    </row>
    <row r="876">
      <c r="A876" s="21" t="n"/>
      <c r="B876" s="21" t="n"/>
    </row>
    <row r="877">
      <c r="A877" s="21" t="n"/>
      <c r="B877" s="21" t="n"/>
    </row>
    <row r="878">
      <c r="A878" s="21" t="n"/>
      <c r="B878" s="21" t="n"/>
    </row>
    <row r="879">
      <c r="A879" s="21" t="n"/>
      <c r="B879" s="21" t="n"/>
    </row>
    <row r="880">
      <c r="A880" s="21" t="n"/>
      <c r="B880" s="21" t="n"/>
    </row>
    <row r="881">
      <c r="A881" s="21" t="n"/>
      <c r="B881" s="21" t="n"/>
    </row>
    <row r="882">
      <c r="A882" s="21" t="n"/>
      <c r="B882" s="21" t="n"/>
    </row>
    <row r="883">
      <c r="A883" s="21" t="n"/>
      <c r="B883" s="21" t="n"/>
    </row>
    <row r="884">
      <c r="A884" s="21" t="n"/>
      <c r="B884" s="21" t="n"/>
    </row>
    <row r="885">
      <c r="A885" s="21" t="n"/>
      <c r="B885" s="21" t="n"/>
    </row>
    <row r="886">
      <c r="A886" s="21" t="n"/>
      <c r="B886" s="21" t="n"/>
    </row>
    <row r="887">
      <c r="A887" s="21" t="n"/>
      <c r="B887" s="21" t="n"/>
    </row>
    <row r="888">
      <c r="A888" s="21" t="n"/>
      <c r="B888" s="21" t="n"/>
    </row>
    <row r="889">
      <c r="A889" s="21" t="n"/>
      <c r="B889" s="21" t="n"/>
    </row>
    <row r="890">
      <c r="A890" s="21" t="n"/>
      <c r="B890" s="21" t="n"/>
    </row>
    <row r="891">
      <c r="A891" s="21" t="n"/>
      <c r="B891" s="21" t="n"/>
    </row>
    <row r="892">
      <c r="A892" s="21" t="n"/>
      <c r="B892" s="21" t="n"/>
    </row>
    <row r="893">
      <c r="A893" s="21" t="n"/>
      <c r="B893" s="21" t="n"/>
    </row>
    <row r="894">
      <c r="A894" s="21" t="n"/>
      <c r="B894" s="21" t="n"/>
    </row>
    <row r="895">
      <c r="A895" s="21" t="n"/>
      <c r="B895" s="21" t="n"/>
    </row>
    <row r="896">
      <c r="A896" s="21" t="n"/>
      <c r="B896" s="21" t="n"/>
    </row>
    <row r="897">
      <c r="A897" s="21" t="n"/>
      <c r="B897" s="21" t="n"/>
    </row>
    <row r="898">
      <c r="A898" s="21" t="n"/>
      <c r="B898" s="21" t="n"/>
    </row>
    <row r="899">
      <c r="A899" s="21" t="n"/>
      <c r="B899" s="21" t="n"/>
    </row>
    <row r="900">
      <c r="A900" s="21" t="n"/>
      <c r="B900" s="21" t="n"/>
    </row>
    <row r="901">
      <c r="A901" s="21" t="n"/>
      <c r="B901" s="21" t="n"/>
    </row>
    <row r="902">
      <c r="A902" s="21" t="n"/>
      <c r="B902" s="21" t="n"/>
    </row>
    <row r="903">
      <c r="A903" s="21" t="n"/>
      <c r="B903" s="21" t="n"/>
    </row>
    <row r="904">
      <c r="A904" s="21" t="n"/>
      <c r="B904" s="21" t="n"/>
    </row>
    <row r="905">
      <c r="A905" s="21" t="n"/>
      <c r="B905" s="21" t="n"/>
    </row>
    <row r="906">
      <c r="A906" s="21" t="n"/>
      <c r="B906" s="21" t="n"/>
    </row>
    <row r="907">
      <c r="A907" s="21" t="n"/>
      <c r="B907" s="21" t="n"/>
    </row>
    <row r="908">
      <c r="A908" s="21" t="n"/>
      <c r="B908" s="21" t="n"/>
    </row>
    <row r="909">
      <c r="A909" s="21" t="n"/>
      <c r="B909" s="21" t="n"/>
    </row>
    <row r="910">
      <c r="A910" s="21" t="n"/>
      <c r="B910" s="21" t="n"/>
    </row>
    <row r="911">
      <c r="A911" s="21" t="n"/>
      <c r="B911" s="21" t="n"/>
    </row>
    <row r="912">
      <c r="A912" s="21" t="n"/>
      <c r="B912" s="21" t="n"/>
    </row>
    <row r="913">
      <c r="A913" s="21" t="n"/>
      <c r="B913" s="21" t="n"/>
    </row>
    <row r="914">
      <c r="A914" s="21" t="n"/>
      <c r="B914" s="21" t="n"/>
    </row>
    <row r="915">
      <c r="A915" s="21" t="n"/>
      <c r="B915" s="21" t="n"/>
    </row>
    <row r="916">
      <c r="A916" s="21" t="n"/>
      <c r="B916" s="21" t="n"/>
    </row>
    <row r="917">
      <c r="A917" s="21" t="n"/>
      <c r="B917" s="21" t="n"/>
    </row>
    <row r="918">
      <c r="A918" s="21" t="n"/>
      <c r="B918" s="21" t="n"/>
    </row>
    <row r="919">
      <c r="A919" s="21" t="n"/>
      <c r="B919" s="21" t="n"/>
    </row>
    <row r="920">
      <c r="A920" s="21" t="n"/>
      <c r="B920" s="21" t="n"/>
    </row>
    <row r="921">
      <c r="A921" s="21" t="n"/>
      <c r="B921" s="21" t="n"/>
    </row>
    <row r="922">
      <c r="A922" s="21" t="n"/>
      <c r="B922" s="21" t="n"/>
    </row>
    <row r="923">
      <c r="A923" s="21" t="n"/>
      <c r="B923" s="21" t="n"/>
    </row>
    <row r="924">
      <c r="A924" s="21" t="n"/>
      <c r="B924" s="21" t="n"/>
    </row>
    <row r="925">
      <c r="A925" s="21" t="n"/>
      <c r="B925" s="21" t="n"/>
    </row>
    <row r="926">
      <c r="A926" s="21" t="n"/>
      <c r="B926" s="21" t="n"/>
    </row>
    <row r="927">
      <c r="A927" s="21" t="n"/>
      <c r="B927" s="21" t="n"/>
    </row>
    <row r="928">
      <c r="A928" s="21" t="n"/>
      <c r="B928" s="21" t="n"/>
    </row>
    <row r="929">
      <c r="A929" s="21" t="n"/>
      <c r="B929" s="21" t="n"/>
    </row>
    <row r="930">
      <c r="A930" s="21" t="n"/>
      <c r="B930" s="21" t="n"/>
    </row>
    <row r="931">
      <c r="A931" s="21" t="n"/>
      <c r="B931" s="21" t="n"/>
    </row>
    <row r="932">
      <c r="A932" s="21" t="n"/>
      <c r="B932" s="21" t="n"/>
    </row>
    <row r="933">
      <c r="A933" s="21" t="n"/>
      <c r="B933" s="21" t="n"/>
    </row>
    <row r="934">
      <c r="A934" s="21" t="n"/>
      <c r="B934" s="21" t="n"/>
    </row>
    <row r="935">
      <c r="A935" s="21" t="n"/>
      <c r="B935" s="21" t="n"/>
    </row>
    <row r="936">
      <c r="A936" s="21" t="n"/>
      <c r="B936" s="21" t="n"/>
    </row>
    <row r="937">
      <c r="A937" s="21" t="n"/>
      <c r="B937" s="21" t="n"/>
    </row>
    <row r="938">
      <c r="A938" s="21" t="n"/>
      <c r="B938" s="21" t="n"/>
    </row>
    <row r="939">
      <c r="A939" s="21" t="n"/>
      <c r="B939" s="21" t="n"/>
    </row>
    <row r="940">
      <c r="A940" s="21" t="n"/>
      <c r="B940" s="21" t="n"/>
    </row>
    <row r="941">
      <c r="A941" s="21" t="n"/>
      <c r="B941" s="21" t="n"/>
    </row>
    <row r="942">
      <c r="A942" s="21" t="n"/>
      <c r="B942" s="21" t="n"/>
    </row>
    <row r="943">
      <c r="A943" s="21" t="n"/>
      <c r="B943" s="21" t="n"/>
    </row>
    <row r="944">
      <c r="A944" s="21" t="n"/>
      <c r="B944" s="21" t="n"/>
    </row>
    <row r="945">
      <c r="A945" s="21" t="n"/>
      <c r="B945" s="21" t="n"/>
    </row>
    <row r="946">
      <c r="A946" s="21" t="n"/>
      <c r="B946" s="21" t="n"/>
    </row>
    <row r="947">
      <c r="A947" s="21" t="n"/>
      <c r="B947" s="21" t="n"/>
    </row>
    <row r="948">
      <c r="A948" s="21" t="n"/>
      <c r="B948" s="21" t="n"/>
    </row>
    <row r="949">
      <c r="A949" s="21" t="n"/>
      <c r="B949" s="21" t="n"/>
    </row>
    <row r="950">
      <c r="A950" s="21" t="n"/>
      <c r="B950" s="21" t="n"/>
    </row>
    <row r="951">
      <c r="A951" s="21" t="n"/>
      <c r="B951" s="21" t="n"/>
    </row>
    <row r="952">
      <c r="A952" s="21" t="n"/>
      <c r="B952" s="21" t="n"/>
    </row>
    <row r="953">
      <c r="A953" s="21" t="n"/>
      <c r="B953" s="21" t="n"/>
    </row>
    <row r="954">
      <c r="A954" s="21" t="n"/>
      <c r="B954" s="21" t="n"/>
    </row>
    <row r="955">
      <c r="A955" s="21" t="n"/>
      <c r="B955" s="21" t="n"/>
    </row>
    <row r="956">
      <c r="A956" s="21" t="n"/>
      <c r="B956" s="21" t="n"/>
    </row>
    <row r="957">
      <c r="A957" s="21" t="n"/>
      <c r="B957" s="21" t="n"/>
    </row>
    <row r="958">
      <c r="A958" s="21" t="n"/>
      <c r="B958" s="21" t="n"/>
    </row>
    <row r="959">
      <c r="A959" s="21" t="n"/>
      <c r="B959" s="21" t="n"/>
    </row>
    <row r="960">
      <c r="A960" s="21" t="n"/>
      <c r="B960" s="21" t="n"/>
    </row>
    <row r="961">
      <c r="A961" s="21" t="n"/>
      <c r="B961" s="21" t="n"/>
    </row>
    <row r="962">
      <c r="A962" s="21" t="n"/>
      <c r="B962" s="21" t="n"/>
    </row>
    <row r="963">
      <c r="A963" s="21" t="n"/>
      <c r="B963" s="21" t="n"/>
    </row>
    <row r="964">
      <c r="A964" s="21" t="n"/>
      <c r="B964" s="21" t="n"/>
    </row>
    <row r="965">
      <c r="A965" s="21" t="n"/>
      <c r="B965" s="21" t="n"/>
    </row>
    <row r="966">
      <c r="A966" s="21" t="n"/>
      <c r="B966" s="21" t="n"/>
    </row>
    <row r="967">
      <c r="A967" s="21" t="n"/>
      <c r="B967" s="21" t="n"/>
    </row>
    <row r="968">
      <c r="A968" s="21" t="n"/>
      <c r="B968" s="21" t="n"/>
    </row>
    <row r="969">
      <c r="A969" s="21" t="n"/>
      <c r="B969" s="21" t="n"/>
    </row>
    <row r="970">
      <c r="A970" s="21" t="n"/>
      <c r="B970" s="21" t="n"/>
    </row>
    <row r="971">
      <c r="A971" s="21" t="n"/>
      <c r="B971" s="21" t="n"/>
    </row>
    <row r="972">
      <c r="A972" s="21" t="n"/>
      <c r="B972" s="21" t="n"/>
    </row>
    <row r="973">
      <c r="A973" s="21" t="n"/>
      <c r="B973" s="21" t="n"/>
    </row>
    <row r="974">
      <c r="A974" s="21" t="n"/>
      <c r="B974" s="21" t="n"/>
    </row>
    <row r="975">
      <c r="A975" s="21" t="n"/>
      <c r="B975" s="21" t="n"/>
    </row>
    <row r="976">
      <c r="A976" s="21" t="n"/>
      <c r="B976" s="21" t="n"/>
    </row>
    <row r="977">
      <c r="A977" s="21" t="n"/>
      <c r="B977" s="21" t="n"/>
    </row>
    <row r="978">
      <c r="A978" s="21" t="n"/>
      <c r="B978" s="21" t="n"/>
    </row>
    <row r="979">
      <c r="A979" s="21" t="n"/>
      <c r="B979" s="21" t="n"/>
    </row>
    <row r="980">
      <c r="A980" s="21" t="n"/>
      <c r="B980" s="21" t="n"/>
    </row>
    <row r="981">
      <c r="A981" s="21" t="n"/>
      <c r="B981" s="21" t="n"/>
    </row>
    <row r="982">
      <c r="A982" s="21" t="n"/>
      <c r="B982" s="21" t="n"/>
    </row>
    <row r="983">
      <c r="A983" s="21" t="n"/>
      <c r="B983" s="21" t="n"/>
    </row>
    <row r="984">
      <c r="A984" s="21" t="n"/>
      <c r="B984" s="21" t="n"/>
    </row>
    <row r="985">
      <c r="A985" s="21" t="n"/>
      <c r="B985" s="21" t="n"/>
    </row>
    <row r="986">
      <c r="A986" s="21" t="n"/>
      <c r="B986" s="21" t="n"/>
    </row>
    <row r="987">
      <c r="A987" s="21" t="n"/>
      <c r="B987" s="21" t="n"/>
    </row>
    <row r="988">
      <c r="A988" s="21" t="n"/>
      <c r="B988" s="21" t="n"/>
    </row>
    <row r="989">
      <c r="A989" s="21" t="n"/>
      <c r="B989" s="21" t="n"/>
    </row>
    <row r="990">
      <c r="A990" s="21" t="n"/>
      <c r="B990" s="21" t="n"/>
    </row>
    <row r="991">
      <c r="A991" s="21" t="n"/>
      <c r="B991" s="21" t="n"/>
    </row>
    <row r="992">
      <c r="A992" s="21" t="n"/>
      <c r="B992" s="21" t="n"/>
    </row>
    <row r="993">
      <c r="A993" s="21" t="n"/>
      <c r="B993" s="21" t="n"/>
    </row>
    <row r="994">
      <c r="A994" s="21" t="n"/>
      <c r="B994" s="21" t="n"/>
    </row>
    <row r="995">
      <c r="A995" s="21" t="n"/>
      <c r="B995" s="21" t="n"/>
    </row>
    <row r="996">
      <c r="A996" s="21" t="n"/>
      <c r="B996" s="21" t="n"/>
    </row>
    <row r="997">
      <c r="A997" s="21" t="n"/>
      <c r="B997" s="21" t="n"/>
    </row>
    <row r="998">
      <c r="A998" s="21" t="n"/>
      <c r="B998" s="21" t="n"/>
    </row>
    <row r="999">
      <c r="A999" s="21" t="n"/>
      <c r="B999" s="21" t="n"/>
    </row>
    <row r="1000">
      <c r="A1000" s="21" t="n"/>
      <c r="B1000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2026-09-27T04:14:10Z</dcterms:created>
  <dcterms:modified xmlns:dcterms="http://purl.org/dc/terms/" xmlns:xsi="http://www.w3.org/2001/XMLSchema-instance" xsi:type="dcterms:W3CDTF">2026-09-27T04:14:10Z</dcterms:modified>
</cp:coreProperties>
</file>